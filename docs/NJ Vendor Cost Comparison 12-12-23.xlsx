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sons365-my.sharepoint.com/personal/robert_leckie_parsons_com/Documents/Desktop/"/>
    </mc:Choice>
  </mc:AlternateContent>
  <xr:revisionPtr revIDLastSave="0" documentId="8_{DF535034-86DA-4612-9FAF-2612CE4F25B4}" xr6:coauthVersionLast="47" xr6:coauthVersionMax="47" xr10:uidLastSave="{00000000-0000-0000-0000-000000000000}"/>
  <bookViews>
    <workbookView xWindow="14355" yWindow="-21720" windowWidth="51840" windowHeight="21120" xr2:uid="{F0E12210-2FFF-4C73-AC96-804C43F753F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" i="1" l="1"/>
  <c r="E65" i="1"/>
  <c r="E66" i="1"/>
  <c r="E62" i="1"/>
  <c r="E61" i="1"/>
  <c r="E60" i="1"/>
  <c r="E57" i="1"/>
  <c r="E55" i="1"/>
  <c r="E56" i="1"/>
  <c r="E52" i="1"/>
  <c r="E51" i="1"/>
  <c r="E50" i="1"/>
  <c r="E46" i="1"/>
  <c r="E47" i="1"/>
  <c r="E45" i="1"/>
  <c r="E42" i="1"/>
  <c r="E41" i="1"/>
  <c r="E40" i="1"/>
  <c r="E37" i="1"/>
  <c r="E36" i="1"/>
  <c r="E35" i="1"/>
  <c r="E32" i="1"/>
  <c r="E31" i="1"/>
  <c r="E30" i="1"/>
  <c r="E27" i="1"/>
  <c r="E26" i="1"/>
  <c r="E25" i="1"/>
  <c r="E22" i="1"/>
  <c r="E21" i="1"/>
  <c r="E20" i="1"/>
  <c r="E17" i="1"/>
  <c r="E16" i="1"/>
  <c r="E15" i="1"/>
  <c r="E11" i="1"/>
  <c r="E10" i="1"/>
  <c r="E12" i="1"/>
</calcChain>
</file>

<file path=xl/sharedStrings.xml><?xml version="1.0" encoding="utf-8"?>
<sst xmlns="http://schemas.openxmlformats.org/spreadsheetml/2006/main" count="372" uniqueCount="50">
  <si>
    <t>Total Cost</t>
  </si>
  <si>
    <t>Parsons</t>
  </si>
  <si>
    <t>Opus</t>
  </si>
  <si>
    <t>Applus</t>
  </si>
  <si>
    <t>Cost Breakdown by Vendor</t>
  </si>
  <si>
    <t>Key Personnel Cost by Year by Vendor</t>
  </si>
  <si>
    <t>PIF/PFF Replacement Equipment Cost Each</t>
  </si>
  <si>
    <t>NGVID Required Documents</t>
  </si>
  <si>
    <t>Quantity</t>
  </si>
  <si>
    <t>Cost</t>
  </si>
  <si>
    <t>Additional Work Per Hour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</si>
  <si>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</si>
  <si>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</si>
  <si>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</si>
  <si>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</si>
  <si>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</si>
  <si>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</si>
  <si>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</si>
  <si>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</si>
  <si>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</si>
  <si>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</si>
  <si>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Monitor</t>
  </si>
  <si>
    <t>Design, Development, and Implementation</t>
  </si>
  <si>
    <t>Project Manager Per Hour</t>
  </si>
  <si>
    <t>Keyboard</t>
  </si>
  <si>
    <t>NGWorkstation price to PIFs andd PFFs (PC Based)</t>
  </si>
  <si>
    <t>Mouse</t>
  </si>
  <si>
    <t>NGWorkstation price to PIFs andd PFFs (Tablet Based)</t>
  </si>
  <si>
    <t>Business Analyst Per Hour</t>
  </si>
  <si>
    <t>OBD Scan Tool</t>
  </si>
  <si>
    <t>NGWorkstation price to PIFs andd PFFs (Laptop Based)</t>
  </si>
  <si>
    <t>User Interface Designer Per Hour</t>
  </si>
  <si>
    <t>Barcode Scanner</t>
  </si>
  <si>
    <t>Developer Per Hour</t>
  </si>
  <si>
    <t>Printer</t>
  </si>
  <si>
    <t>Inspection transaction fee for PIFs and PFFs (year 1)</t>
  </si>
  <si>
    <t>Database Administrator Per Hour</t>
  </si>
  <si>
    <t>Tablet</t>
  </si>
  <si>
    <t>Inspection transaction fee for PIFs and PFFs (years 2 through 6)</t>
  </si>
  <si>
    <t>Security Design Lead Per Hour</t>
  </si>
  <si>
    <t>Computer</t>
  </si>
  <si>
    <t>Training State Staff on NGSystem</t>
  </si>
  <si>
    <t>Security Tester Per Hour</t>
  </si>
  <si>
    <t>Laptop</t>
  </si>
  <si>
    <t>CIF Retrofit</t>
  </si>
  <si>
    <t>Quality Assurance Manager Per Hour</t>
  </si>
  <si>
    <t>Mobile Team NG Workstation</t>
  </si>
  <si>
    <t>CIF Cost per Inspcetion (year 1)</t>
  </si>
  <si>
    <t>CIF Cost per Inspcetion (year 2 through 6)</t>
  </si>
  <si>
    <t>varies by year ($17.92 AVG)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</si>
</sst>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25">
    <xf numFmtId="0" fontId="0" fillId="0" borderId="0" xfId="0"/>
    <xf numFmtId="44" fontId="0" fillId="0" borderId="0" xfId="1" applyFont="1"/>
    <xf numFmtId="44" fontId="0" fillId="0" borderId="0" xfId="0" applyNumberFormat="1"/>
    <xf numFmtId="3" fontId="0" fillId="0" borderId="1" xfId="0" applyNumberFormat="1" applyBorder="1"/>
    <xf numFmtId="44" fontId="0" fillId="0" borderId="1" xfId="1" applyFont="1" applyBorder="1"/>
    <xf numFmtId="44" fontId="0" fillId="0" borderId="1" xfId="0" applyNumberForma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3" xfId="0" applyFont="1" applyBorder="1"/>
    <xf numFmtId="44" fontId="1" fillId="0" borderId="1" xfId="1" applyFont="1" applyBorder="1" applyAlignment="1">
      <alignment horizontal="center"/>
    </xf>
    <xf numFmtId="44" fontId="4" fillId="4" borderId="1" xfId="4" applyNumberFormat="1" applyBorder="1"/>
    <xf numFmtId="44" fontId="3" fillId="3" borderId="1" xfId="3" applyNumberFormat="1" applyBorder="1"/>
    <xf numFmtId="44" fontId="2" fillId="2" borderId="1" xfId="2" applyNumberFormat="1" applyBorder="1"/>
    <xf numFmtId="44" fontId="3" fillId="3" borderId="1" xfId="3" applyNumberFormat="1" applyBorder="1" applyAlignment="1">
      <alignment horizontal="center"/>
    </xf>
    <xf numFmtId="0" fontId="6" fillId="0" borderId="1" xfId="0" applyFont="1" applyBorder="1"/>
    <xf numFmtId="2" fontId="0" fillId="0" borderId="0" xfId="0" applyNumberFormat="1"/>
    <xf numFmtId="0" fontId="6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5" fillId="0" borderId="2" xfId="0" applyFont="1" applyBorder="1" applyAlignment="1">
      <alignment horizontal="center"/>
    </xf>
    <xf numFmtId="44" fontId="8" fillId="3" borderId="1" xfId="3" applyNumberFormat="1" applyFont="1" applyBorder="1" applyAlignment="1"/>
    <xf numFmtId="0" fontId="0" fillId="0" borderId="1" xfId="0" applyBorder="1"/>
    <xf numFmtId="44" fontId="6" fillId="0" borderId="1" xfId="0" applyNumberFormat="1" applyFont="1" applyBorder="1"/>
    <xf numFmtId="44" fontId="7" fillId="0" borderId="1" xfId="1" applyFont="1" applyBorder="1" applyAlignment="1"/>
  </cellXfs>
  <cellStyles count="5">
    <cellStyle name="Bad" xfId="3" builtinId="27"/>
    <cellStyle name="Currency" xfId="1" builtinId="4"/>
    <cellStyle name="Good" xfId="2" builtinId="26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127D4-9570-4967-B410-8C8E2FDD1F39}">
  <dimension ref="A1:AE71"/>
  <sheetViews>
    <sheetView tabSelected="1" workbookViewId="0">
      <selection activeCell="I4" sqref="I4"/>
    </sheetView>
  </sheetViews>
  <sheetFormatPr defaultRowHeight="14.5" x14ac:dyDescent="0.35"/>
  <cols>
    <col min="1" max="1" width="57.54296875" customWidth="1"/>
    <col min="2" max="2" width="14" customWidth="1"/>
    <col min="3" max="3" width="21.7265625" customWidth="1"/>
    <col min="4" max="4" width="24.7265625" customWidth="1"/>
    <col min="5" max="5" width="21.453125" customWidth="1"/>
    <col min="6" max="6" width="19.453125" customWidth="1"/>
    <col min="7" max="7" width="34.26953125" customWidth="1"/>
    <col min="19" max="19" width="14.453125" customWidth="1"/>
    <col min="20" max="20" width="35.54296875" customWidth="1"/>
    <col min="22" max="31" width="10.54296875" bestFit="1" customWidth="1"/>
  </cols>
  <sheetData>
    <row r="1" spans="1:31" ht="26" x14ac:dyDescent="0.6">
      <c r="A1" s="17" t="s">
        <v>0</v>
      </c>
      <c r="B1" s="18"/>
      <c r="C1" s="19"/>
      <c r="D1" s="19"/>
    </row>
    <row r="2" spans="1:31" ht="26" x14ac:dyDescent="0.6">
      <c r="B2" s="15" t="s">
        <v>1</v>
      </c>
      <c r="C2" s="21">
        <v>220319369.86000001</v>
      </c>
      <c r="D2" s="22"/>
      <c r="F2" s="16"/>
    </row>
    <row r="3" spans="1:31" ht="26" x14ac:dyDescent="0.6">
      <c r="B3" s="15" t="s">
        <v>2</v>
      </c>
      <c r="C3" s="23">
        <v>121515837.5</v>
      </c>
      <c r="D3" s="22"/>
      <c r="E3" s="2"/>
      <c r="F3" s="2"/>
      <c r="G3" s="2"/>
    </row>
    <row r="4" spans="1:31" ht="26" x14ac:dyDescent="0.6">
      <c r="B4" s="15" t="s">
        <v>3</v>
      </c>
      <c r="C4" s="24">
        <v>173048736.94</v>
      </c>
      <c r="D4" s="22"/>
      <c r="E4" s="2"/>
      <c r="F4" s="2"/>
      <c r="G4" s="2"/>
    </row>
    <row r="5" spans="1:31" x14ac:dyDescent="0.35">
      <c r="A5" s="8"/>
    </row>
    <row r="6" spans="1:31" x14ac:dyDescent="0.35">
      <c r="A6" s="8"/>
    </row>
    <row r="7" spans="1:31" x14ac:dyDescent="0.35">
      <c r="A7" s="20" t="s">
        <v>4</v>
      </c>
      <c r="B7" s="18"/>
      <c r="C7" s="18"/>
      <c r="D7" s="18"/>
      <c r="E7" s="18"/>
      <c r="G7" s="20" t="s">
        <v>5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T7" s="20" t="s">
        <v>6</v>
      </c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</row>
    <row r="8" spans="1:31" x14ac:dyDescent="0.35">
      <c r="A8" s="8"/>
    </row>
    <row r="9" spans="1:31" x14ac:dyDescent="0.35">
      <c r="A9" s="8" t="s">
        <v>7</v>
      </c>
      <c r="C9" s="7" t="s">
        <v>8</v>
      </c>
      <c r="D9" s="7" t="s">
        <v>9</v>
      </c>
      <c r="E9" s="7" t="s">
        <v>0</v>
      </c>
      <c r="G9" s="8" t="s">
        <v>10</v>
      </c>
      <c r="I9" s="7" t="s">
        <v>11</v>
      </c>
      <c r="J9" s="7" t="s">
        <v>12</v>
      </c>
      <c r="K9" s="7" t="s">
        <v>13</v>
      </c>
      <c r="L9" s="7" t="s">
        <v>14</v>
      </c>
      <c r="M9" s="7" t="s">
        <v>15</v>
      </c>
      <c r="N9" s="7" t="s">
        <v>16</v>
      </c>
      <c r="O9" s="7" t="s">
        <v>17</v>
      </c>
      <c r="P9" s="7" t="s">
        <v>18</v>
      </c>
      <c r="Q9" s="7" t="s">
        <v>19</v>
      </c>
      <c r="R9" s="7" t="s">
        <v>20</v>
      </c>
      <c r="T9" s="8" t="s">
        <v>21</v>
      </c>
      <c r="V9" s="7" t="s">
        <v>11</v>
      </c>
      <c r="W9" s="7" t="s">
        <v>12</v>
      </c>
      <c r="X9" s="7" t="s">
        <v>13</v>
      </c>
      <c r="Y9" s="7" t="s">
        <v>14</v>
      </c>
      <c r="Z9" s="7" t="s">
        <v>15</v>
      </c>
      <c r="AA9" s="7" t="s">
        <v>16</v>
      </c>
      <c r="AB9" s="7" t="s">
        <v>17</v>
      </c>
      <c r="AC9" s="7" t="s">
        <v>18</v>
      </c>
      <c r="AD9" s="7" t="s">
        <v>19</v>
      </c>
      <c r="AE9" s="7" t="s">
        <v>20</v>
      </c>
    </row>
    <row r="10" spans="1:31" x14ac:dyDescent="0.35">
      <c r="A10" s="8"/>
      <c r="B10" s="6" t="s">
        <v>1</v>
      </c>
      <c r="C10" s="3">
        <v>1</v>
      </c>
      <c r="D10" s="12">
        <v>250694.86</v>
      </c>
      <c r="E10" s="12">
        <f>D10*C10</f>
        <v>250694.86</v>
      </c>
      <c r="H10" s="9" t="s">
        <v>1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2"/>
      <c r="U10" s="9" t="s">
        <v>1</v>
      </c>
      <c r="V10" s="11">
        <v>136</v>
      </c>
      <c r="W10" s="11">
        <v>136</v>
      </c>
      <c r="X10" s="11">
        <v>136</v>
      </c>
      <c r="Y10" s="11">
        <v>136</v>
      </c>
      <c r="Z10" s="11">
        <v>136</v>
      </c>
      <c r="AA10" s="11">
        <v>136</v>
      </c>
      <c r="AB10" s="11">
        <v>136</v>
      </c>
      <c r="AC10" s="11">
        <v>136</v>
      </c>
      <c r="AD10" s="11">
        <v>136</v>
      </c>
      <c r="AE10" s="11">
        <v>136</v>
      </c>
    </row>
    <row r="11" spans="1:31" x14ac:dyDescent="0.35">
      <c r="A11" s="8"/>
      <c r="B11" s="6" t="s">
        <v>2</v>
      </c>
      <c r="C11" s="3">
        <v>1</v>
      </c>
      <c r="D11" s="4">
        <v>150000</v>
      </c>
      <c r="E11" s="5">
        <f>D11*C11</f>
        <v>150000</v>
      </c>
      <c r="H11" s="9" t="s">
        <v>2</v>
      </c>
      <c r="I11" s="4">
        <v>125</v>
      </c>
      <c r="J11" s="4">
        <v>125</v>
      </c>
      <c r="K11" s="4">
        <v>125</v>
      </c>
      <c r="L11" s="4">
        <v>125</v>
      </c>
      <c r="M11" s="4">
        <v>125</v>
      </c>
      <c r="N11" s="4">
        <v>125</v>
      </c>
      <c r="O11" s="4">
        <v>125</v>
      </c>
      <c r="P11" s="4">
        <v>125</v>
      </c>
      <c r="Q11" s="4">
        <v>125</v>
      </c>
      <c r="R11" s="4">
        <v>125</v>
      </c>
      <c r="S11" s="2"/>
      <c r="U11" s="9" t="s">
        <v>2</v>
      </c>
      <c r="V11" s="4">
        <v>125</v>
      </c>
      <c r="W11" s="4">
        <v>125</v>
      </c>
      <c r="X11" s="4">
        <v>125</v>
      </c>
      <c r="Y11" s="4">
        <v>125</v>
      </c>
      <c r="Z11" s="4">
        <v>125</v>
      </c>
      <c r="AA11" s="4">
        <v>125</v>
      </c>
      <c r="AB11" s="4">
        <v>125</v>
      </c>
      <c r="AC11" s="4">
        <v>125</v>
      </c>
      <c r="AD11" s="4">
        <v>125</v>
      </c>
      <c r="AE11" s="4">
        <v>125</v>
      </c>
    </row>
    <row r="12" spans="1:31" x14ac:dyDescent="0.35">
      <c r="A12" s="8"/>
      <c r="B12" s="6" t="s">
        <v>3</v>
      </c>
      <c r="C12" s="3">
        <v>1</v>
      </c>
      <c r="D12" s="4">
        <v>243625</v>
      </c>
      <c r="E12" s="5">
        <f>D12*C12</f>
        <v>243625</v>
      </c>
      <c r="H12" s="9" t="s">
        <v>3</v>
      </c>
      <c r="I12" s="10">
        <v>135</v>
      </c>
      <c r="J12" s="4">
        <v>137.69999999999999</v>
      </c>
      <c r="K12" s="4">
        <v>140.44999999999999</v>
      </c>
      <c r="L12" s="4">
        <v>143.26</v>
      </c>
      <c r="M12" s="4">
        <v>146.13</v>
      </c>
      <c r="N12" s="4">
        <v>149.05000000000001</v>
      </c>
      <c r="O12" s="4">
        <v>152.03</v>
      </c>
      <c r="P12" s="4">
        <v>155.07</v>
      </c>
      <c r="Q12" s="4">
        <v>158.16999999999999</v>
      </c>
      <c r="R12" s="4">
        <v>161.34</v>
      </c>
      <c r="S12" s="2"/>
      <c r="U12" s="9" t="s">
        <v>3</v>
      </c>
      <c r="V12" s="10">
        <v>337.5</v>
      </c>
      <c r="W12" s="4">
        <v>344.25</v>
      </c>
      <c r="X12" s="4">
        <v>351.14</v>
      </c>
      <c r="Y12" s="4">
        <v>358.16</v>
      </c>
      <c r="Z12" s="4">
        <v>365.32</v>
      </c>
      <c r="AA12" s="4">
        <v>372.63</v>
      </c>
      <c r="AB12" s="4">
        <v>380.08</v>
      </c>
      <c r="AC12" s="4">
        <v>387.68</v>
      </c>
      <c r="AD12" s="4">
        <v>395.44</v>
      </c>
      <c r="AE12" s="4">
        <v>403.34</v>
      </c>
    </row>
    <row r="13" spans="1:31" x14ac:dyDescent="0.35">
      <c r="A13" s="8"/>
      <c r="D13" s="1"/>
      <c r="E13" s="2"/>
    </row>
    <row r="14" spans="1:31" x14ac:dyDescent="0.35">
      <c r="A14" s="8" t="s">
        <v>22</v>
      </c>
      <c r="C14" s="7" t="s">
        <v>8</v>
      </c>
      <c r="D14" s="7" t="s">
        <v>9</v>
      </c>
      <c r="E14" s="7" t="s">
        <v>0</v>
      </c>
      <c r="G14" s="8" t="s">
        <v>23</v>
      </c>
      <c r="I14" s="7" t="s">
        <v>11</v>
      </c>
      <c r="J14" s="7" t="s">
        <v>12</v>
      </c>
      <c r="K14" s="7" t="s">
        <v>13</v>
      </c>
      <c r="L14" s="7" t="s">
        <v>14</v>
      </c>
      <c r="M14" s="7" t="s">
        <v>15</v>
      </c>
      <c r="N14" s="7" t="s">
        <v>16</v>
      </c>
      <c r="O14" s="7" t="s">
        <v>17</v>
      </c>
      <c r="P14" s="7" t="s">
        <v>18</v>
      </c>
      <c r="Q14" s="7" t="s">
        <v>19</v>
      </c>
      <c r="R14" s="7" t="s">
        <v>20</v>
      </c>
      <c r="T14" s="8" t="s">
        <v>24</v>
      </c>
      <c r="V14" s="7" t="s">
        <v>11</v>
      </c>
      <c r="W14" s="7" t="s">
        <v>12</v>
      </c>
      <c r="X14" s="7" t="s">
        <v>13</v>
      </c>
      <c r="Y14" s="7" t="s">
        <v>14</v>
      </c>
      <c r="Z14" s="7" t="s">
        <v>15</v>
      </c>
      <c r="AA14" s="7" t="s">
        <v>16</v>
      </c>
      <c r="AB14" s="7" t="s">
        <v>17</v>
      </c>
      <c r="AC14" s="7" t="s">
        <v>18</v>
      </c>
      <c r="AD14" s="7" t="s">
        <v>19</v>
      </c>
      <c r="AE14" s="7" t="s">
        <v>20</v>
      </c>
    </row>
    <row r="15" spans="1:31" x14ac:dyDescent="0.35">
      <c r="A15" s="8"/>
      <c r="B15" s="6" t="s">
        <v>1</v>
      </c>
      <c r="C15" s="3">
        <v>1</v>
      </c>
      <c r="D15" s="11">
        <v>1002775</v>
      </c>
      <c r="E15" s="11">
        <f>D15*C15</f>
        <v>1002775</v>
      </c>
      <c r="H15" s="9" t="s">
        <v>1</v>
      </c>
      <c r="I15" s="13">
        <v>121.52</v>
      </c>
      <c r="J15" s="13">
        <v>122.74</v>
      </c>
      <c r="K15" s="13">
        <v>123.97</v>
      </c>
      <c r="L15" s="13">
        <v>125.21</v>
      </c>
      <c r="M15" s="13">
        <v>126.46</v>
      </c>
      <c r="N15" s="13">
        <v>127.72</v>
      </c>
      <c r="O15" s="13">
        <v>129</v>
      </c>
      <c r="P15" s="13">
        <v>130.29</v>
      </c>
      <c r="Q15" s="13">
        <v>131.59</v>
      </c>
      <c r="R15" s="13">
        <v>132.91</v>
      </c>
      <c r="S15" s="2"/>
      <c r="U15" s="9" t="s">
        <v>1</v>
      </c>
      <c r="V15" s="12">
        <v>54</v>
      </c>
      <c r="W15" s="12">
        <v>54</v>
      </c>
      <c r="X15" s="12">
        <v>54</v>
      </c>
      <c r="Y15" s="12">
        <v>54</v>
      </c>
      <c r="Z15" s="12">
        <v>54</v>
      </c>
      <c r="AA15" s="12">
        <v>54</v>
      </c>
      <c r="AB15" s="12">
        <v>54</v>
      </c>
      <c r="AC15" s="12">
        <v>54</v>
      </c>
      <c r="AD15" s="12">
        <v>54</v>
      </c>
      <c r="AE15" s="12">
        <v>54</v>
      </c>
    </row>
    <row r="16" spans="1:31" x14ac:dyDescent="0.35">
      <c r="A16" s="8"/>
      <c r="B16" s="6" t="s">
        <v>2</v>
      </c>
      <c r="C16" s="3">
        <v>1</v>
      </c>
      <c r="D16" s="4">
        <v>575000</v>
      </c>
      <c r="E16" s="5">
        <f>D16*C16</f>
        <v>575000</v>
      </c>
      <c r="H16" s="9" t="s">
        <v>2</v>
      </c>
      <c r="I16" s="4">
        <v>225</v>
      </c>
      <c r="J16" s="4">
        <v>225</v>
      </c>
      <c r="K16" s="4">
        <v>225</v>
      </c>
      <c r="L16" s="4">
        <v>225</v>
      </c>
      <c r="M16" s="4">
        <v>225</v>
      </c>
      <c r="N16" s="4">
        <v>225</v>
      </c>
      <c r="O16" s="4">
        <v>225</v>
      </c>
      <c r="P16" s="4">
        <v>225</v>
      </c>
      <c r="Q16" s="4">
        <v>225</v>
      </c>
      <c r="R16" s="4">
        <v>225</v>
      </c>
      <c r="S16" s="2"/>
      <c r="U16" s="9" t="s">
        <v>2</v>
      </c>
      <c r="V16" s="4">
        <v>39</v>
      </c>
      <c r="W16" s="4">
        <v>39</v>
      </c>
      <c r="X16" s="4">
        <v>39</v>
      </c>
      <c r="Y16" s="4">
        <v>39</v>
      </c>
      <c r="Z16" s="4">
        <v>39</v>
      </c>
      <c r="AA16" s="4">
        <v>39</v>
      </c>
      <c r="AB16" s="4">
        <v>39</v>
      </c>
      <c r="AC16" s="4">
        <v>39</v>
      </c>
      <c r="AD16" s="4">
        <v>39</v>
      </c>
      <c r="AE16" s="4">
        <v>39</v>
      </c>
    </row>
    <row r="17" spans="1:31" x14ac:dyDescent="0.35">
      <c r="A17" s="8"/>
      <c r="B17" s="6" t="s">
        <v>3</v>
      </c>
      <c r="C17" s="3">
        <v>1</v>
      </c>
      <c r="D17" s="4">
        <v>3116284</v>
      </c>
      <c r="E17" s="5">
        <f>D17*C17</f>
        <v>3116284</v>
      </c>
      <c r="H17" s="9" t="s">
        <v>3</v>
      </c>
      <c r="I17" s="10">
        <v>160</v>
      </c>
      <c r="J17" s="4">
        <v>163.19999999999999</v>
      </c>
      <c r="K17" s="4">
        <v>166.46</v>
      </c>
      <c r="L17" s="4">
        <v>169.79</v>
      </c>
      <c r="M17" s="4">
        <v>173.19</v>
      </c>
      <c r="N17" s="4">
        <v>176.55</v>
      </c>
      <c r="O17" s="4">
        <v>180.19</v>
      </c>
      <c r="P17" s="4">
        <v>183.79</v>
      </c>
      <c r="Q17" s="4">
        <v>187.47</v>
      </c>
      <c r="R17" s="4">
        <v>191.21</v>
      </c>
      <c r="S17" s="2"/>
      <c r="U17" s="9" t="s">
        <v>3</v>
      </c>
      <c r="V17" s="10">
        <v>18.5</v>
      </c>
      <c r="W17" s="4">
        <v>18.87</v>
      </c>
      <c r="X17" s="4">
        <v>19.25</v>
      </c>
      <c r="Y17" s="4">
        <v>19.63</v>
      </c>
      <c r="Z17" s="4">
        <v>20.02</v>
      </c>
      <c r="AA17" s="4">
        <v>20.43</v>
      </c>
      <c r="AB17" s="4">
        <v>20.83</v>
      </c>
      <c r="AC17" s="4">
        <v>21.25</v>
      </c>
      <c r="AD17" s="4">
        <v>21.68</v>
      </c>
      <c r="AE17" s="4">
        <v>22.11</v>
      </c>
    </row>
    <row r="18" spans="1:31" x14ac:dyDescent="0.35">
      <c r="A18" s="8"/>
    </row>
    <row r="19" spans="1:31" x14ac:dyDescent="0.35">
      <c r="A19" s="8" t="s">
        <v>25</v>
      </c>
      <c r="C19" s="7" t="s">
        <v>8</v>
      </c>
      <c r="D19" s="7" t="s">
        <v>9</v>
      </c>
      <c r="E19" s="7" t="s">
        <v>0</v>
      </c>
      <c r="G19" s="8" t="s">
        <v>23</v>
      </c>
      <c r="I19" s="7" t="s">
        <v>11</v>
      </c>
      <c r="J19" s="7" t="s">
        <v>12</v>
      </c>
      <c r="K19" s="7" t="s">
        <v>13</v>
      </c>
      <c r="L19" s="7" t="s">
        <v>14</v>
      </c>
      <c r="M19" s="7" t="s">
        <v>15</v>
      </c>
      <c r="N19" s="7" t="s">
        <v>16</v>
      </c>
      <c r="O19" s="7" t="s">
        <v>17</v>
      </c>
      <c r="P19" s="7" t="s">
        <v>18</v>
      </c>
      <c r="Q19" s="7" t="s">
        <v>19</v>
      </c>
      <c r="R19" s="7" t="s">
        <v>20</v>
      </c>
      <c r="T19" s="8" t="s">
        <v>26</v>
      </c>
      <c r="V19" s="7" t="s">
        <v>11</v>
      </c>
      <c r="W19" s="7" t="s">
        <v>12</v>
      </c>
      <c r="X19" s="7" t="s">
        <v>13</v>
      </c>
      <c r="Y19" s="7" t="s">
        <v>14</v>
      </c>
      <c r="Z19" s="7" t="s">
        <v>15</v>
      </c>
      <c r="AA19" s="7" t="s">
        <v>16</v>
      </c>
      <c r="AB19" s="7" t="s">
        <v>17</v>
      </c>
      <c r="AC19" s="7" t="s">
        <v>18</v>
      </c>
      <c r="AD19" s="7" t="s">
        <v>19</v>
      </c>
      <c r="AE19" s="7" t="s">
        <v>20</v>
      </c>
    </row>
    <row r="20" spans="1:31" x14ac:dyDescent="0.35">
      <c r="A20" s="8"/>
      <c r="B20" s="6" t="s">
        <v>1</v>
      </c>
      <c r="C20" s="3">
        <v>1250</v>
      </c>
      <c r="D20" s="12">
        <v>3037.21</v>
      </c>
      <c r="E20" s="12">
        <f>D20*C20</f>
        <v>3796512.5</v>
      </c>
      <c r="H20" s="9" t="s">
        <v>1</v>
      </c>
      <c r="I20" s="13">
        <v>121.52</v>
      </c>
      <c r="J20" s="13">
        <v>122.74</v>
      </c>
      <c r="K20" s="13">
        <v>123.97</v>
      </c>
      <c r="L20" s="13">
        <v>125.21</v>
      </c>
      <c r="M20" s="13">
        <v>126.46</v>
      </c>
      <c r="N20" s="13">
        <v>127.72</v>
      </c>
      <c r="O20" s="13">
        <v>129</v>
      </c>
      <c r="P20" s="13">
        <v>130.29</v>
      </c>
      <c r="Q20" s="13">
        <v>131.59</v>
      </c>
      <c r="R20" s="13">
        <v>132.91</v>
      </c>
      <c r="S20" s="2"/>
      <c r="U20" s="9" t="s">
        <v>1</v>
      </c>
      <c r="V20" s="13">
        <v>13.5</v>
      </c>
      <c r="W20" s="13">
        <v>13.5</v>
      </c>
      <c r="X20" s="13">
        <v>13.5</v>
      </c>
      <c r="Y20" s="13">
        <v>13.5</v>
      </c>
      <c r="Z20" s="13">
        <v>13.5</v>
      </c>
      <c r="AA20" s="13">
        <v>13.5</v>
      </c>
      <c r="AB20" s="13">
        <v>13.5</v>
      </c>
      <c r="AC20" s="13">
        <v>13.5</v>
      </c>
      <c r="AD20" s="13">
        <v>13.5</v>
      </c>
      <c r="AE20" s="13">
        <v>13.5</v>
      </c>
    </row>
    <row r="21" spans="1:31" x14ac:dyDescent="0.35">
      <c r="A21" s="8"/>
      <c r="B21" s="6" t="s">
        <v>2</v>
      </c>
      <c r="C21" s="3">
        <v>1250</v>
      </c>
      <c r="D21" s="4">
        <v>1993.78</v>
      </c>
      <c r="E21" s="5">
        <f>D21*C21</f>
        <v>2492225</v>
      </c>
      <c r="H21" s="9" t="s">
        <v>2</v>
      </c>
      <c r="I21" s="4">
        <v>225</v>
      </c>
      <c r="J21" s="4">
        <v>225</v>
      </c>
      <c r="K21" s="4">
        <v>225</v>
      </c>
      <c r="L21" s="4">
        <v>225</v>
      </c>
      <c r="M21" s="4">
        <v>225</v>
      </c>
      <c r="N21" s="4">
        <v>225</v>
      </c>
      <c r="O21" s="4">
        <v>225</v>
      </c>
      <c r="P21" s="4">
        <v>225</v>
      </c>
      <c r="Q21" s="4">
        <v>225</v>
      </c>
      <c r="R21" s="4">
        <v>225</v>
      </c>
      <c r="S21" s="2"/>
      <c r="U21" s="9" t="s">
        <v>2</v>
      </c>
      <c r="V21" s="4">
        <v>24.75</v>
      </c>
      <c r="W21" s="4">
        <v>24.75</v>
      </c>
      <c r="X21" s="4">
        <v>24.75</v>
      </c>
      <c r="Y21" s="4">
        <v>24.75</v>
      </c>
      <c r="Z21" s="4">
        <v>24.75</v>
      </c>
      <c r="AA21" s="4">
        <v>24.75</v>
      </c>
      <c r="AB21" s="4">
        <v>24.75</v>
      </c>
      <c r="AC21" s="4">
        <v>24.75</v>
      </c>
      <c r="AD21" s="4">
        <v>24.75</v>
      </c>
      <c r="AE21" s="4">
        <v>24.75</v>
      </c>
    </row>
    <row r="22" spans="1:31" x14ac:dyDescent="0.35">
      <c r="A22" s="8"/>
      <c r="B22" s="6" t="s">
        <v>3</v>
      </c>
      <c r="C22" s="3">
        <v>1250</v>
      </c>
      <c r="D22" s="4">
        <v>2162.33</v>
      </c>
      <c r="E22" s="5">
        <f>D22*C22</f>
        <v>2702912.5</v>
      </c>
      <c r="H22" s="9" t="s">
        <v>3</v>
      </c>
      <c r="I22" s="10">
        <v>160</v>
      </c>
      <c r="J22" s="4">
        <v>163.19999999999999</v>
      </c>
      <c r="K22" s="4">
        <v>166.46</v>
      </c>
      <c r="L22" s="4">
        <v>169.79</v>
      </c>
      <c r="M22" s="4">
        <v>173.19</v>
      </c>
      <c r="N22" s="4">
        <v>176.55</v>
      </c>
      <c r="O22" s="4">
        <v>180.19</v>
      </c>
      <c r="P22" s="4">
        <v>183.79</v>
      </c>
      <c r="Q22" s="4">
        <v>187.47</v>
      </c>
      <c r="R22" s="4">
        <v>191.21</v>
      </c>
      <c r="S22" s="2"/>
      <c r="U22" s="9" t="s">
        <v>3</v>
      </c>
      <c r="V22" s="10">
        <v>14.38</v>
      </c>
      <c r="W22" s="4">
        <v>14.66</v>
      </c>
      <c r="X22" s="4">
        <v>14.96</v>
      </c>
      <c r="Y22" s="4">
        <v>15.25</v>
      </c>
      <c r="Z22" s="4">
        <v>15.56</v>
      </c>
      <c r="AA22" s="4">
        <v>15.87</v>
      </c>
      <c r="AB22" s="4">
        <v>16.190000000000001</v>
      </c>
      <c r="AC22" s="4">
        <v>16.510000000000002</v>
      </c>
      <c r="AD22" s="4">
        <v>16.84</v>
      </c>
      <c r="AE22" s="4">
        <v>17.18</v>
      </c>
    </row>
    <row r="23" spans="1:31" x14ac:dyDescent="0.35">
      <c r="A23" s="8"/>
    </row>
    <row r="24" spans="1:31" x14ac:dyDescent="0.35">
      <c r="A24" s="8" t="s">
        <v>27</v>
      </c>
      <c r="C24" s="7" t="s">
        <v>8</v>
      </c>
      <c r="D24" s="7" t="s">
        <v>9</v>
      </c>
      <c r="E24" s="7" t="s">
        <v>0</v>
      </c>
      <c r="G24" s="8" t="s">
        <v>28</v>
      </c>
      <c r="I24" s="7" t="s">
        <v>11</v>
      </c>
      <c r="J24" s="7" t="s">
        <v>12</v>
      </c>
      <c r="K24" s="7" t="s">
        <v>13</v>
      </c>
      <c r="L24" s="7" t="s">
        <v>14</v>
      </c>
      <c r="M24" s="7" t="s">
        <v>15</v>
      </c>
      <c r="N24" s="7" t="s">
        <v>16</v>
      </c>
      <c r="O24" s="7" t="s">
        <v>17</v>
      </c>
      <c r="P24" s="7" t="s">
        <v>18</v>
      </c>
      <c r="Q24" s="7" t="s">
        <v>19</v>
      </c>
      <c r="R24" s="7" t="s">
        <v>20</v>
      </c>
      <c r="T24" s="8" t="s">
        <v>29</v>
      </c>
      <c r="V24" s="7" t="s">
        <v>11</v>
      </c>
      <c r="W24" s="7" t="s">
        <v>12</v>
      </c>
      <c r="X24" s="7" t="s">
        <v>13</v>
      </c>
      <c r="Y24" s="7" t="s">
        <v>14</v>
      </c>
      <c r="Z24" s="7" t="s">
        <v>15</v>
      </c>
      <c r="AA24" s="7" t="s">
        <v>16</v>
      </c>
      <c r="AB24" s="7" t="s">
        <v>17</v>
      </c>
      <c r="AC24" s="7" t="s">
        <v>18</v>
      </c>
      <c r="AD24" s="7" t="s">
        <v>19</v>
      </c>
      <c r="AE24" s="7" t="s">
        <v>20</v>
      </c>
    </row>
    <row r="25" spans="1:31" x14ac:dyDescent="0.35">
      <c r="A25" s="8"/>
      <c r="B25" s="6" t="s">
        <v>1</v>
      </c>
      <c r="C25" s="3">
        <v>1250</v>
      </c>
      <c r="D25" s="12">
        <v>3625.94</v>
      </c>
      <c r="E25" s="12">
        <f>D25*C25</f>
        <v>4532425</v>
      </c>
      <c r="H25" s="9" t="s">
        <v>1</v>
      </c>
      <c r="I25" s="13">
        <v>81.540000000000006</v>
      </c>
      <c r="J25" s="13">
        <v>82.36</v>
      </c>
      <c r="K25" s="13">
        <v>83.18</v>
      </c>
      <c r="L25" s="13">
        <v>84.01</v>
      </c>
      <c r="M25" s="13">
        <v>84.85</v>
      </c>
      <c r="N25" s="13">
        <v>85.7</v>
      </c>
      <c r="O25" s="13">
        <v>86.56</v>
      </c>
      <c r="P25" s="13">
        <v>87.42</v>
      </c>
      <c r="Q25" s="13">
        <v>88.3</v>
      </c>
      <c r="R25" s="13">
        <v>89.18</v>
      </c>
      <c r="S25" s="2"/>
      <c r="U25" s="9" t="s">
        <v>1</v>
      </c>
      <c r="V25" s="12">
        <v>877.5</v>
      </c>
      <c r="W25" s="12">
        <v>877.5</v>
      </c>
      <c r="X25" s="12">
        <v>877.5</v>
      </c>
      <c r="Y25" s="12">
        <v>877.5</v>
      </c>
      <c r="Z25" s="12">
        <v>877.5</v>
      </c>
      <c r="AA25" s="12">
        <v>877.5</v>
      </c>
      <c r="AB25" s="12">
        <v>877.5</v>
      </c>
      <c r="AC25" s="12">
        <v>877.5</v>
      </c>
      <c r="AD25" s="12">
        <v>877.5</v>
      </c>
      <c r="AE25" s="12">
        <v>877.5</v>
      </c>
    </row>
    <row r="26" spans="1:31" x14ac:dyDescent="0.35">
      <c r="A26" s="8"/>
      <c r="B26" s="6" t="s">
        <v>2</v>
      </c>
      <c r="C26" s="3">
        <v>1250</v>
      </c>
      <c r="D26" s="4">
        <v>1944.6</v>
      </c>
      <c r="E26" s="5">
        <f>D26*C26</f>
        <v>2430750</v>
      </c>
      <c r="H26" s="9" t="s">
        <v>2</v>
      </c>
      <c r="I26" s="4">
        <v>195</v>
      </c>
      <c r="J26" s="4">
        <v>195</v>
      </c>
      <c r="K26" s="4">
        <v>195</v>
      </c>
      <c r="L26" s="4">
        <v>195</v>
      </c>
      <c r="M26" s="4">
        <v>195</v>
      </c>
      <c r="N26" s="4">
        <v>195</v>
      </c>
      <c r="O26" s="4">
        <v>195</v>
      </c>
      <c r="P26" s="4">
        <v>195</v>
      </c>
      <c r="Q26" s="4">
        <v>195</v>
      </c>
      <c r="R26" s="4">
        <v>195</v>
      </c>
      <c r="S26" s="2"/>
      <c r="U26" s="9" t="s">
        <v>2</v>
      </c>
      <c r="V26" s="4">
        <v>745.2</v>
      </c>
      <c r="W26" s="4">
        <v>745.2</v>
      </c>
      <c r="X26" s="4">
        <v>745.2</v>
      </c>
      <c r="Y26" s="4">
        <v>745.2</v>
      </c>
      <c r="Z26" s="4">
        <v>745.2</v>
      </c>
      <c r="AA26" s="4">
        <v>745.2</v>
      </c>
      <c r="AB26" s="4">
        <v>745.2</v>
      </c>
      <c r="AC26" s="4">
        <v>745.2</v>
      </c>
      <c r="AD26" s="4">
        <v>745.2</v>
      </c>
      <c r="AE26" s="4">
        <v>745.2</v>
      </c>
    </row>
    <row r="27" spans="1:31" x14ac:dyDescent="0.35">
      <c r="A27" s="8"/>
      <c r="B27" s="6" t="s">
        <v>3</v>
      </c>
      <c r="C27" s="3">
        <v>1250</v>
      </c>
      <c r="D27" s="4">
        <v>2710.58</v>
      </c>
      <c r="E27" s="5">
        <f>D27*C27</f>
        <v>3388225</v>
      </c>
      <c r="H27" s="9" t="s">
        <v>3</v>
      </c>
      <c r="I27" s="10">
        <v>135</v>
      </c>
      <c r="J27" s="4">
        <v>137.69999999999999</v>
      </c>
      <c r="K27" s="4">
        <v>140.44999999999999</v>
      </c>
      <c r="L27" s="4">
        <v>143.26</v>
      </c>
      <c r="M27" s="4">
        <v>146.13</v>
      </c>
      <c r="N27" s="4">
        <v>149.05000000000001</v>
      </c>
      <c r="O27" s="4">
        <v>152.03</v>
      </c>
      <c r="P27" s="4">
        <v>155.07</v>
      </c>
      <c r="Q27" s="4">
        <v>158.16999999999999</v>
      </c>
      <c r="R27" s="4">
        <v>161.34</v>
      </c>
      <c r="S27" s="2"/>
      <c r="U27" s="9" t="s">
        <v>3</v>
      </c>
      <c r="V27" s="10">
        <v>272.60000000000002</v>
      </c>
      <c r="W27" s="4">
        <v>278.05</v>
      </c>
      <c r="X27" s="4">
        <v>283.61</v>
      </c>
      <c r="Y27" s="4">
        <v>289.29000000000002</v>
      </c>
      <c r="Z27" s="4">
        <v>295.07</v>
      </c>
      <c r="AA27" s="4">
        <v>300.97000000000003</v>
      </c>
      <c r="AB27" s="4">
        <v>306.99</v>
      </c>
      <c r="AC27" s="4">
        <v>313.13</v>
      </c>
      <c r="AD27" s="4">
        <v>319.39</v>
      </c>
      <c r="AE27" s="4">
        <v>325.77999999999997</v>
      </c>
    </row>
    <row r="28" spans="1:31" x14ac:dyDescent="0.35">
      <c r="A28" s="8"/>
    </row>
    <row r="29" spans="1:31" x14ac:dyDescent="0.35">
      <c r="A29" s="8" t="s">
        <v>30</v>
      </c>
      <c r="C29" s="7" t="s">
        <v>8</v>
      </c>
      <c r="D29" s="7" t="s">
        <v>9</v>
      </c>
      <c r="E29" s="7" t="s">
        <v>0</v>
      </c>
      <c r="G29" s="8" t="s">
        <v>31</v>
      </c>
      <c r="I29" s="7" t="s">
        <v>11</v>
      </c>
      <c r="J29" s="7" t="s">
        <v>12</v>
      </c>
      <c r="K29" s="7" t="s">
        <v>13</v>
      </c>
      <c r="L29" s="7" t="s">
        <v>14</v>
      </c>
      <c r="M29" s="7" t="s">
        <v>15</v>
      </c>
      <c r="N29" s="7" t="s">
        <v>16</v>
      </c>
      <c r="O29" s="7" t="s">
        <v>17</v>
      </c>
      <c r="P29" s="7" t="s">
        <v>18</v>
      </c>
      <c r="Q29" s="7" t="s">
        <v>19</v>
      </c>
      <c r="R29" s="7" t="s">
        <v>20</v>
      </c>
      <c r="T29" s="8" t="s">
        <v>32</v>
      </c>
      <c r="V29" s="7" t="s">
        <v>11</v>
      </c>
      <c r="W29" s="7" t="s">
        <v>12</v>
      </c>
      <c r="X29" s="7" t="s">
        <v>13</v>
      </c>
      <c r="Y29" s="7" t="s">
        <v>14</v>
      </c>
      <c r="Z29" s="7" t="s">
        <v>15</v>
      </c>
      <c r="AA29" s="7" t="s">
        <v>16</v>
      </c>
      <c r="AB29" s="7" t="s">
        <v>17</v>
      </c>
      <c r="AC29" s="7" t="s">
        <v>18</v>
      </c>
      <c r="AD29" s="7" t="s">
        <v>19</v>
      </c>
      <c r="AE29" s="7" t="s">
        <v>20</v>
      </c>
    </row>
    <row r="30" spans="1:31" x14ac:dyDescent="0.35">
      <c r="A30" s="8"/>
      <c r="B30" s="6" t="s">
        <v>1</v>
      </c>
      <c r="C30" s="3">
        <v>1250</v>
      </c>
      <c r="D30" s="12">
        <v>3101.99</v>
      </c>
      <c r="E30" s="12">
        <f>D30*C30</f>
        <v>3877487.4999999995</v>
      </c>
      <c r="H30" s="9" t="s">
        <v>1</v>
      </c>
      <c r="I30" s="13">
        <v>119.59</v>
      </c>
      <c r="J30" s="13">
        <v>120.79</v>
      </c>
      <c r="K30" s="13">
        <v>122</v>
      </c>
      <c r="L30" s="13">
        <v>123.22</v>
      </c>
      <c r="M30" s="13">
        <v>124.45</v>
      </c>
      <c r="N30" s="13">
        <v>125.7</v>
      </c>
      <c r="O30" s="13">
        <v>126.95</v>
      </c>
      <c r="P30" s="13">
        <v>128.22</v>
      </c>
      <c r="Q30" s="13">
        <v>129.5</v>
      </c>
      <c r="R30" s="13">
        <v>130.80000000000001</v>
      </c>
      <c r="S30" s="2"/>
      <c r="U30" s="9" t="s">
        <v>1</v>
      </c>
      <c r="V30" s="12">
        <v>911.25</v>
      </c>
      <c r="W30" s="12">
        <v>911.25</v>
      </c>
      <c r="X30" s="12">
        <v>911.25</v>
      </c>
      <c r="Y30" s="12">
        <v>911.25</v>
      </c>
      <c r="Z30" s="12">
        <v>911.25</v>
      </c>
      <c r="AA30" s="12">
        <v>911.25</v>
      </c>
      <c r="AB30" s="12">
        <v>911.25</v>
      </c>
      <c r="AC30" s="12">
        <v>911.25</v>
      </c>
      <c r="AD30" s="12">
        <v>911.25</v>
      </c>
      <c r="AE30" s="12">
        <v>911.25</v>
      </c>
    </row>
    <row r="31" spans="1:31" x14ac:dyDescent="0.35">
      <c r="A31" s="8"/>
      <c r="B31" s="6" t="s">
        <v>2</v>
      </c>
      <c r="C31" s="3">
        <v>1250</v>
      </c>
      <c r="D31" s="4">
        <v>2332.79</v>
      </c>
      <c r="E31" s="5">
        <f>D31*C31</f>
        <v>2915987.5</v>
      </c>
      <c r="H31" s="9" t="s">
        <v>2</v>
      </c>
      <c r="I31" s="4">
        <v>150</v>
      </c>
      <c r="J31" s="4">
        <v>150</v>
      </c>
      <c r="K31" s="4">
        <v>150</v>
      </c>
      <c r="L31" s="4">
        <v>150</v>
      </c>
      <c r="M31" s="4">
        <v>150</v>
      </c>
      <c r="N31" s="4">
        <v>150</v>
      </c>
      <c r="O31" s="4">
        <v>150</v>
      </c>
      <c r="P31" s="4">
        <v>150</v>
      </c>
      <c r="Q31" s="4">
        <v>150</v>
      </c>
      <c r="R31" s="4">
        <v>150</v>
      </c>
      <c r="S31" s="2"/>
      <c r="U31" s="9" t="s">
        <v>2</v>
      </c>
      <c r="V31" s="4">
        <v>837</v>
      </c>
      <c r="W31" s="4">
        <v>837</v>
      </c>
      <c r="X31" s="4">
        <v>837</v>
      </c>
      <c r="Y31" s="4">
        <v>837</v>
      </c>
      <c r="Z31" s="4">
        <v>837</v>
      </c>
      <c r="AA31" s="4">
        <v>837</v>
      </c>
      <c r="AB31" s="4">
        <v>837</v>
      </c>
      <c r="AC31" s="4">
        <v>837</v>
      </c>
      <c r="AD31" s="4">
        <v>837</v>
      </c>
      <c r="AE31" s="4">
        <v>837</v>
      </c>
    </row>
    <row r="32" spans="1:31" x14ac:dyDescent="0.35">
      <c r="A32" s="8"/>
      <c r="B32" s="6" t="s">
        <v>3</v>
      </c>
      <c r="C32" s="3">
        <v>1250</v>
      </c>
      <c r="D32" s="4">
        <v>2360.98</v>
      </c>
      <c r="E32" s="5">
        <f>D32*C32</f>
        <v>2951225</v>
      </c>
      <c r="H32" s="9" t="s">
        <v>3</v>
      </c>
      <c r="I32" s="10">
        <v>120</v>
      </c>
      <c r="J32" s="4">
        <v>122.4</v>
      </c>
      <c r="K32" s="4">
        <v>124.85</v>
      </c>
      <c r="L32" s="4">
        <v>127.34</v>
      </c>
      <c r="M32" s="4">
        <v>129.88999999999999</v>
      </c>
      <c r="N32" s="4">
        <v>132.49</v>
      </c>
      <c r="O32" s="4">
        <v>135.13999999999999</v>
      </c>
      <c r="P32" s="4">
        <v>137.84</v>
      </c>
      <c r="Q32" s="4">
        <v>140.6</v>
      </c>
      <c r="R32" s="4">
        <v>143.41</v>
      </c>
      <c r="S32" s="2"/>
      <c r="U32" s="9" t="s">
        <v>3</v>
      </c>
      <c r="V32" s="10">
        <v>737.5</v>
      </c>
      <c r="W32" s="4">
        <v>752.25</v>
      </c>
      <c r="X32" s="4">
        <v>767.3</v>
      </c>
      <c r="Y32" s="4">
        <v>782.64</v>
      </c>
      <c r="Z32" s="4">
        <v>798.29</v>
      </c>
      <c r="AA32" s="4">
        <v>814.26</v>
      </c>
      <c r="AB32" s="4">
        <v>830.54</v>
      </c>
      <c r="AC32" s="4">
        <v>847.16</v>
      </c>
      <c r="AD32" s="4">
        <v>864.1</v>
      </c>
      <c r="AE32" s="4">
        <v>881.38</v>
      </c>
    </row>
    <row r="33" spans="1:31" x14ac:dyDescent="0.35">
      <c r="A33" s="8"/>
    </row>
    <row r="34" spans="1:31" x14ac:dyDescent="0.35">
      <c r="A34" s="8" t="s">
        <v>30</v>
      </c>
      <c r="C34" s="7" t="s">
        <v>8</v>
      </c>
      <c r="D34" s="7" t="s">
        <v>9</v>
      </c>
      <c r="E34" s="7" t="s">
        <v>0</v>
      </c>
      <c r="G34" s="8" t="s">
        <v>33</v>
      </c>
      <c r="I34" s="7" t="s">
        <v>11</v>
      </c>
      <c r="J34" s="7" t="s">
        <v>12</v>
      </c>
      <c r="K34" s="7" t="s">
        <v>13</v>
      </c>
      <c r="L34" s="7" t="s">
        <v>14</v>
      </c>
      <c r="M34" s="7" t="s">
        <v>15</v>
      </c>
      <c r="N34" s="7" t="s">
        <v>16</v>
      </c>
      <c r="O34" s="7" t="s">
        <v>17</v>
      </c>
      <c r="P34" s="7" t="s">
        <v>18</v>
      </c>
      <c r="Q34" s="7" t="s">
        <v>19</v>
      </c>
      <c r="R34" s="7" t="s">
        <v>20</v>
      </c>
      <c r="T34" s="8" t="s">
        <v>34</v>
      </c>
      <c r="V34" s="7" t="s">
        <v>11</v>
      </c>
      <c r="W34" s="7" t="s">
        <v>12</v>
      </c>
      <c r="X34" s="7" t="s">
        <v>13</v>
      </c>
      <c r="Y34" s="7" t="s">
        <v>14</v>
      </c>
      <c r="Z34" s="7" t="s">
        <v>15</v>
      </c>
      <c r="AA34" s="7" t="s">
        <v>16</v>
      </c>
      <c r="AB34" s="7" t="s">
        <v>17</v>
      </c>
      <c r="AC34" s="7" t="s">
        <v>18</v>
      </c>
      <c r="AD34" s="7" t="s">
        <v>19</v>
      </c>
      <c r="AE34" s="7" t="s">
        <v>20</v>
      </c>
    </row>
    <row r="35" spans="1:31" x14ac:dyDescent="0.35">
      <c r="A35" s="8"/>
      <c r="B35" s="6" t="s">
        <v>1</v>
      </c>
      <c r="C35" s="3">
        <v>1250</v>
      </c>
      <c r="D35" s="12">
        <v>3101.99</v>
      </c>
      <c r="E35" s="12">
        <f>D35*C35</f>
        <v>3877487.4999999995</v>
      </c>
      <c r="H35" s="9" t="s">
        <v>1</v>
      </c>
      <c r="I35" s="13">
        <v>89.15</v>
      </c>
      <c r="J35" s="13">
        <v>90.04</v>
      </c>
      <c r="K35" s="13">
        <v>90.94</v>
      </c>
      <c r="L35" s="13">
        <v>91.85</v>
      </c>
      <c r="M35" s="13">
        <v>92.77</v>
      </c>
      <c r="N35" s="13">
        <v>93.7</v>
      </c>
      <c r="O35" s="13">
        <v>94.64</v>
      </c>
      <c r="P35" s="13">
        <v>95.58</v>
      </c>
      <c r="Q35" s="13">
        <v>96.54</v>
      </c>
      <c r="R35" s="13">
        <v>97.5</v>
      </c>
      <c r="S35" s="2"/>
      <c r="U35" s="9" t="s">
        <v>1</v>
      </c>
      <c r="V35" s="13">
        <v>182.25</v>
      </c>
      <c r="W35" s="13">
        <v>182.25</v>
      </c>
      <c r="X35" s="13">
        <v>182.25</v>
      </c>
      <c r="Y35" s="13">
        <v>182.25</v>
      </c>
      <c r="Z35" s="13">
        <v>182.25</v>
      </c>
      <c r="AA35" s="13">
        <v>182.25</v>
      </c>
      <c r="AB35" s="13">
        <v>182.25</v>
      </c>
      <c r="AC35" s="13">
        <v>182.25</v>
      </c>
      <c r="AD35" s="13">
        <v>182.25</v>
      </c>
      <c r="AE35" s="13">
        <v>182.25</v>
      </c>
    </row>
    <row r="36" spans="1:31" x14ac:dyDescent="0.35">
      <c r="A36" s="8"/>
      <c r="B36" s="6" t="s">
        <v>2</v>
      </c>
      <c r="C36" s="3">
        <v>1250</v>
      </c>
      <c r="D36" s="4">
        <v>2332.79</v>
      </c>
      <c r="E36" s="5">
        <f>D36*C36</f>
        <v>2915987.5</v>
      </c>
      <c r="H36" s="9" t="s">
        <v>2</v>
      </c>
      <c r="I36" s="4">
        <v>195</v>
      </c>
      <c r="J36" s="4">
        <v>195</v>
      </c>
      <c r="K36" s="4">
        <v>195</v>
      </c>
      <c r="L36" s="4">
        <v>195</v>
      </c>
      <c r="M36" s="4">
        <v>195</v>
      </c>
      <c r="N36" s="4">
        <v>195</v>
      </c>
      <c r="O36" s="4">
        <v>195</v>
      </c>
      <c r="P36" s="4">
        <v>195</v>
      </c>
      <c r="Q36" s="4">
        <v>195</v>
      </c>
      <c r="R36" s="4">
        <v>195</v>
      </c>
      <c r="S36" s="2"/>
      <c r="U36" s="9" t="s">
        <v>2</v>
      </c>
      <c r="V36" s="4">
        <v>220.05</v>
      </c>
      <c r="W36" s="4">
        <v>220.05</v>
      </c>
      <c r="X36" s="4">
        <v>220.05</v>
      </c>
      <c r="Y36" s="4">
        <v>220.05</v>
      </c>
      <c r="Z36" s="4">
        <v>220.05</v>
      </c>
      <c r="AA36" s="4">
        <v>220.05</v>
      </c>
      <c r="AB36" s="4">
        <v>220.05</v>
      </c>
      <c r="AC36" s="4">
        <v>220.05</v>
      </c>
      <c r="AD36" s="4">
        <v>220.05</v>
      </c>
      <c r="AE36" s="4">
        <v>220.05</v>
      </c>
    </row>
    <row r="37" spans="1:31" x14ac:dyDescent="0.35">
      <c r="A37" s="8"/>
      <c r="B37" s="6" t="s">
        <v>3</v>
      </c>
      <c r="C37" s="3">
        <v>1250</v>
      </c>
      <c r="D37" s="4">
        <v>2360.98</v>
      </c>
      <c r="E37" s="5">
        <f>D37*C37</f>
        <v>2951225</v>
      </c>
      <c r="H37" s="9" t="s">
        <v>3</v>
      </c>
      <c r="I37" s="10">
        <v>125</v>
      </c>
      <c r="J37" s="4">
        <v>127.5</v>
      </c>
      <c r="K37" s="4">
        <v>130.05000000000001</v>
      </c>
      <c r="L37" s="4">
        <v>132.65</v>
      </c>
      <c r="M37" s="4">
        <v>135.30000000000001</v>
      </c>
      <c r="N37" s="4">
        <v>138.01</v>
      </c>
      <c r="O37" s="4">
        <v>140.77000000000001</v>
      </c>
      <c r="P37" s="4">
        <v>143.59</v>
      </c>
      <c r="Q37" s="4">
        <v>146.46</v>
      </c>
      <c r="R37" s="4">
        <v>149.38999999999999</v>
      </c>
      <c r="S37" s="2"/>
      <c r="U37" s="9" t="s">
        <v>3</v>
      </c>
      <c r="V37" s="10">
        <v>600</v>
      </c>
      <c r="W37" s="4">
        <v>612</v>
      </c>
      <c r="X37" s="4">
        <v>624.24</v>
      </c>
      <c r="Y37" s="4">
        <v>636.72</v>
      </c>
      <c r="Z37" s="4">
        <v>649.46</v>
      </c>
      <c r="AA37" s="4">
        <v>662.45</v>
      </c>
      <c r="AB37" s="4">
        <v>675.7</v>
      </c>
      <c r="AC37" s="4">
        <v>689.21</v>
      </c>
      <c r="AD37" s="4">
        <v>703</v>
      </c>
      <c r="AE37" s="4">
        <v>717.06</v>
      </c>
    </row>
    <row r="38" spans="1:31" x14ac:dyDescent="0.35">
      <c r="A38" s="8"/>
    </row>
    <row r="39" spans="1:31" x14ac:dyDescent="0.35">
      <c r="A39" s="8" t="s">
        <v>35</v>
      </c>
      <c r="C39" s="7" t="s">
        <v>8</v>
      </c>
      <c r="D39" s="7" t="s">
        <v>9</v>
      </c>
      <c r="E39" s="7" t="s">
        <v>0</v>
      </c>
      <c r="G39" s="8" t="s">
        <v>36</v>
      </c>
      <c r="I39" s="7" t="s">
        <v>11</v>
      </c>
      <c r="J39" s="7" t="s">
        <v>12</v>
      </c>
      <c r="K39" s="7" t="s">
        <v>13</v>
      </c>
      <c r="L39" s="7" t="s">
        <v>14</v>
      </c>
      <c r="M39" s="7" t="s">
        <v>15</v>
      </c>
      <c r="N39" s="7" t="s">
        <v>16</v>
      </c>
      <c r="O39" s="7" t="s">
        <v>17</v>
      </c>
      <c r="P39" s="7" t="s">
        <v>18</v>
      </c>
      <c r="Q39" s="7" t="s">
        <v>19</v>
      </c>
      <c r="R39" s="7" t="s">
        <v>20</v>
      </c>
      <c r="T39" s="8" t="s">
        <v>37</v>
      </c>
      <c r="V39" s="7" t="s">
        <v>11</v>
      </c>
      <c r="W39" s="7" t="s">
        <v>12</v>
      </c>
      <c r="X39" s="7" t="s">
        <v>13</v>
      </c>
      <c r="Y39" s="7" t="s">
        <v>14</v>
      </c>
      <c r="Z39" s="7" t="s">
        <v>15</v>
      </c>
      <c r="AA39" s="7" t="s">
        <v>16</v>
      </c>
      <c r="AB39" s="7" t="s">
        <v>17</v>
      </c>
      <c r="AC39" s="7" t="s">
        <v>18</v>
      </c>
      <c r="AD39" s="7" t="s">
        <v>19</v>
      </c>
      <c r="AE39" s="7" t="s">
        <v>20</v>
      </c>
    </row>
    <row r="40" spans="1:31" x14ac:dyDescent="0.35">
      <c r="A40" s="8"/>
      <c r="B40" s="6" t="s">
        <v>1</v>
      </c>
      <c r="C40" s="3">
        <v>205000</v>
      </c>
      <c r="D40" s="12">
        <v>4.92</v>
      </c>
      <c r="E40" s="12">
        <f>D40*C40</f>
        <v>1008600</v>
      </c>
      <c r="H40" s="9" t="s">
        <v>1</v>
      </c>
      <c r="I40" s="13">
        <v>108.72</v>
      </c>
      <c r="J40" s="13">
        <v>109.81</v>
      </c>
      <c r="K40" s="13">
        <v>110.91</v>
      </c>
      <c r="L40" s="13">
        <v>112.02</v>
      </c>
      <c r="M40" s="13">
        <v>113.14</v>
      </c>
      <c r="N40" s="13">
        <v>114.27</v>
      </c>
      <c r="O40" s="13">
        <v>115.41</v>
      </c>
      <c r="P40" s="13">
        <v>116.57</v>
      </c>
      <c r="Q40" s="13">
        <v>117.73</v>
      </c>
      <c r="R40" s="13">
        <v>118.91</v>
      </c>
      <c r="S40" s="2"/>
      <c r="U40" s="9" t="s">
        <v>1</v>
      </c>
      <c r="V40" s="13">
        <v>1417.5</v>
      </c>
      <c r="W40" s="13">
        <v>1417.5</v>
      </c>
      <c r="X40" s="13">
        <v>1417.5</v>
      </c>
      <c r="Y40" s="13">
        <v>1417.5</v>
      </c>
      <c r="Z40" s="13">
        <v>1417.5</v>
      </c>
      <c r="AA40" s="13">
        <v>1417.5</v>
      </c>
      <c r="AB40" s="13">
        <v>1417.5</v>
      </c>
      <c r="AC40" s="13">
        <v>1417.5</v>
      </c>
      <c r="AD40" s="13">
        <v>1417.5</v>
      </c>
      <c r="AE40" s="13">
        <v>1417.5</v>
      </c>
    </row>
    <row r="41" spans="1:31" x14ac:dyDescent="0.35">
      <c r="A41" s="8"/>
      <c r="B41" s="6" t="s">
        <v>2</v>
      </c>
      <c r="C41" s="3">
        <v>205000</v>
      </c>
      <c r="D41" s="4">
        <v>2.5</v>
      </c>
      <c r="E41" s="5">
        <f>D41*C41</f>
        <v>512500</v>
      </c>
      <c r="H41" s="9" t="s">
        <v>2</v>
      </c>
      <c r="I41" s="4">
        <v>195</v>
      </c>
      <c r="J41" s="4">
        <v>195</v>
      </c>
      <c r="K41" s="4">
        <v>195</v>
      </c>
      <c r="L41" s="4">
        <v>195</v>
      </c>
      <c r="M41" s="4">
        <v>195</v>
      </c>
      <c r="N41" s="4">
        <v>195</v>
      </c>
      <c r="O41" s="4">
        <v>195</v>
      </c>
      <c r="P41" s="4">
        <v>195</v>
      </c>
      <c r="Q41" s="4">
        <v>195</v>
      </c>
      <c r="R41" s="4">
        <v>195</v>
      </c>
      <c r="S41" s="2"/>
      <c r="U41" s="9" t="s">
        <v>2</v>
      </c>
      <c r="V41" s="4">
        <v>1755</v>
      </c>
      <c r="W41" s="4">
        <v>1755</v>
      </c>
      <c r="X41" s="4">
        <v>1755</v>
      </c>
      <c r="Y41" s="4">
        <v>1755</v>
      </c>
      <c r="Z41" s="4">
        <v>1755</v>
      </c>
      <c r="AA41" s="4">
        <v>1755</v>
      </c>
      <c r="AB41" s="4">
        <v>1755</v>
      </c>
      <c r="AC41" s="4">
        <v>1755</v>
      </c>
      <c r="AD41" s="4">
        <v>1755</v>
      </c>
      <c r="AE41" s="4">
        <v>1755</v>
      </c>
    </row>
    <row r="42" spans="1:31" x14ac:dyDescent="0.35">
      <c r="A42" s="8"/>
      <c r="B42" s="6" t="s">
        <v>3</v>
      </c>
      <c r="C42" s="3">
        <v>205000</v>
      </c>
      <c r="D42" s="4">
        <v>2.75</v>
      </c>
      <c r="E42" s="5">
        <f>D42*C42</f>
        <v>563750</v>
      </c>
      <c r="H42" s="9" t="s">
        <v>3</v>
      </c>
      <c r="I42" s="10">
        <v>110</v>
      </c>
      <c r="J42" s="4">
        <v>112.2</v>
      </c>
      <c r="K42" s="4">
        <v>114.44</v>
      </c>
      <c r="L42" s="4">
        <v>116.73</v>
      </c>
      <c r="M42" s="4">
        <v>119.07</v>
      </c>
      <c r="N42" s="4">
        <v>121.45</v>
      </c>
      <c r="O42" s="4">
        <v>123.88</v>
      </c>
      <c r="P42" s="4">
        <v>126.36</v>
      </c>
      <c r="Q42" s="4">
        <v>128.88</v>
      </c>
      <c r="R42" s="4">
        <v>131.46</v>
      </c>
      <c r="S42" s="2"/>
      <c r="U42" s="9" t="s">
        <v>3</v>
      </c>
      <c r="V42" s="10">
        <v>2964.38</v>
      </c>
      <c r="W42" s="4">
        <v>3023.66</v>
      </c>
      <c r="X42" s="4">
        <v>3084.14</v>
      </c>
      <c r="Y42" s="4">
        <v>3145.82</v>
      </c>
      <c r="Z42" s="4">
        <v>3208.73</v>
      </c>
      <c r="AA42" s="4">
        <v>3272.91</v>
      </c>
      <c r="AB42" s="4">
        <v>3338.37</v>
      </c>
      <c r="AC42" s="4">
        <v>3405.14</v>
      </c>
      <c r="AD42" s="4">
        <v>3473.24</v>
      </c>
      <c r="AE42" s="4">
        <v>3542.7</v>
      </c>
    </row>
    <row r="43" spans="1:31" x14ac:dyDescent="0.35">
      <c r="A43" s="8"/>
    </row>
    <row r="44" spans="1:31" x14ac:dyDescent="0.35">
      <c r="A44" s="8" t="s">
        <v>38</v>
      </c>
      <c r="C44" s="7" t="s">
        <v>8</v>
      </c>
      <c r="D44" s="7" t="s">
        <v>9</v>
      </c>
      <c r="E44" s="7" t="s">
        <v>0</v>
      </c>
      <c r="G44" s="8" t="s">
        <v>39</v>
      </c>
      <c r="I44" s="7" t="s">
        <v>11</v>
      </c>
      <c r="J44" s="7" t="s">
        <v>12</v>
      </c>
      <c r="K44" s="7" t="s">
        <v>13</v>
      </c>
      <c r="L44" s="7" t="s">
        <v>14</v>
      </c>
      <c r="M44" s="7" t="s">
        <v>15</v>
      </c>
      <c r="N44" s="7" t="s">
        <v>16</v>
      </c>
      <c r="O44" s="7" t="s">
        <v>17</v>
      </c>
      <c r="P44" s="7" t="s">
        <v>18</v>
      </c>
      <c r="Q44" s="7" t="s">
        <v>19</v>
      </c>
      <c r="R44" s="7" t="s">
        <v>20</v>
      </c>
      <c r="T44" s="8" t="s">
        <v>40</v>
      </c>
      <c r="V44" s="7" t="s">
        <v>11</v>
      </c>
      <c r="W44" s="7" t="s">
        <v>12</v>
      </c>
      <c r="X44" s="7" t="s">
        <v>13</v>
      </c>
      <c r="Y44" s="7" t="s">
        <v>14</v>
      </c>
      <c r="Z44" s="7" t="s">
        <v>15</v>
      </c>
      <c r="AA44" s="7" t="s">
        <v>16</v>
      </c>
      <c r="AB44" s="7" t="s">
        <v>17</v>
      </c>
      <c r="AC44" s="7" t="s">
        <v>18</v>
      </c>
      <c r="AD44" s="7" t="s">
        <v>19</v>
      </c>
      <c r="AE44" s="7" t="s">
        <v>20</v>
      </c>
    </row>
    <row r="45" spans="1:31" x14ac:dyDescent="0.35">
      <c r="A45" s="8"/>
      <c r="B45" s="6" t="s">
        <v>1</v>
      </c>
      <c r="C45" s="3">
        <v>255000</v>
      </c>
      <c r="D45" s="12">
        <v>6.56</v>
      </c>
      <c r="E45" s="12">
        <f>D45*C45*5</f>
        <v>8364000</v>
      </c>
      <c r="H45" s="9" t="s">
        <v>1</v>
      </c>
      <c r="I45" s="12">
        <v>192.03</v>
      </c>
      <c r="J45" s="12">
        <v>193.95</v>
      </c>
      <c r="K45" s="12">
        <v>195.89</v>
      </c>
      <c r="L45" s="12">
        <v>197.85</v>
      </c>
      <c r="M45" s="12">
        <v>199.82</v>
      </c>
      <c r="N45" s="12">
        <v>201.82</v>
      </c>
      <c r="O45" s="12">
        <v>203.84</v>
      </c>
      <c r="P45" s="12">
        <v>205.88</v>
      </c>
      <c r="Q45" s="12">
        <v>207.94</v>
      </c>
      <c r="R45" s="12">
        <v>210.02</v>
      </c>
      <c r="S45" s="2"/>
      <c r="U45" s="9" t="s">
        <v>1</v>
      </c>
      <c r="V45" s="13">
        <v>580.5</v>
      </c>
      <c r="W45" s="13">
        <v>580.5</v>
      </c>
      <c r="X45" s="13">
        <v>580.5</v>
      </c>
      <c r="Y45" s="13">
        <v>580.5</v>
      </c>
      <c r="Z45" s="13">
        <v>580.5</v>
      </c>
      <c r="AA45" s="13">
        <v>580.5</v>
      </c>
      <c r="AB45" s="13">
        <v>580.5</v>
      </c>
      <c r="AC45" s="13">
        <v>580.5</v>
      </c>
      <c r="AD45" s="13">
        <v>580.5</v>
      </c>
      <c r="AE45" s="13">
        <v>580.5</v>
      </c>
    </row>
    <row r="46" spans="1:31" x14ac:dyDescent="0.35">
      <c r="A46" s="8"/>
      <c r="B46" s="6" t="s">
        <v>2</v>
      </c>
      <c r="C46" s="3">
        <v>255000</v>
      </c>
      <c r="D46" s="4">
        <v>2.5</v>
      </c>
      <c r="E46" s="5">
        <f>D46*C46*5</f>
        <v>3187500</v>
      </c>
      <c r="H46" s="9" t="s">
        <v>2</v>
      </c>
      <c r="I46" s="4">
        <v>175</v>
      </c>
      <c r="J46" s="4">
        <v>175</v>
      </c>
      <c r="K46" s="4">
        <v>175</v>
      </c>
      <c r="L46" s="4">
        <v>175</v>
      </c>
      <c r="M46" s="4">
        <v>175</v>
      </c>
      <c r="N46" s="4">
        <v>175</v>
      </c>
      <c r="O46" s="4">
        <v>175</v>
      </c>
      <c r="P46" s="4">
        <v>175</v>
      </c>
      <c r="Q46" s="4">
        <v>175</v>
      </c>
      <c r="R46" s="4">
        <v>175</v>
      </c>
      <c r="S46" s="2"/>
      <c r="U46" s="9" t="s">
        <v>2</v>
      </c>
      <c r="V46" s="4">
        <v>634.5</v>
      </c>
      <c r="W46" s="4">
        <v>634.5</v>
      </c>
      <c r="X46" s="4">
        <v>634.5</v>
      </c>
      <c r="Y46" s="4">
        <v>634.5</v>
      </c>
      <c r="Z46" s="4">
        <v>634.5</v>
      </c>
      <c r="AA46" s="4">
        <v>634.5</v>
      </c>
      <c r="AB46" s="4">
        <v>634.5</v>
      </c>
      <c r="AC46" s="4">
        <v>634.5</v>
      </c>
      <c r="AD46" s="4">
        <v>634.5</v>
      </c>
      <c r="AE46" s="4">
        <v>634.5</v>
      </c>
    </row>
    <row r="47" spans="1:31" x14ac:dyDescent="0.35">
      <c r="A47" s="8"/>
      <c r="B47" s="6" t="s">
        <v>3</v>
      </c>
      <c r="C47" s="3">
        <v>255000</v>
      </c>
      <c r="D47" s="4">
        <v>2.75</v>
      </c>
      <c r="E47" s="5">
        <f>D47*C47*5</f>
        <v>3506250</v>
      </c>
      <c r="H47" s="9" t="s">
        <v>3</v>
      </c>
      <c r="I47" s="10">
        <v>135</v>
      </c>
      <c r="J47" s="4">
        <v>137.69999999999999</v>
      </c>
      <c r="K47" s="4">
        <v>140.44999999999999</v>
      </c>
      <c r="L47" s="4">
        <v>143.26</v>
      </c>
      <c r="M47" s="4">
        <v>146.13</v>
      </c>
      <c r="N47" s="4">
        <v>149.05000000000001</v>
      </c>
      <c r="O47" s="4">
        <v>152.03</v>
      </c>
      <c r="P47" s="4">
        <v>155.07</v>
      </c>
      <c r="Q47" s="4">
        <v>158.16999999999999</v>
      </c>
      <c r="R47" s="4">
        <v>161.34</v>
      </c>
      <c r="S47" s="2"/>
      <c r="U47" s="9" t="s">
        <v>3</v>
      </c>
      <c r="V47" s="10">
        <v>1195.83</v>
      </c>
      <c r="W47" s="4">
        <v>1219.74</v>
      </c>
      <c r="X47" s="4">
        <v>1244.1400000000001</v>
      </c>
      <c r="Y47" s="4">
        <v>1269.02</v>
      </c>
      <c r="Z47" s="4">
        <v>1294.4000000000001</v>
      </c>
      <c r="AA47" s="4">
        <v>1320.29</v>
      </c>
      <c r="AB47" s="4">
        <v>1346.69</v>
      </c>
      <c r="AC47" s="4">
        <v>1373.63</v>
      </c>
      <c r="AD47" s="4">
        <v>1401.1</v>
      </c>
      <c r="AE47" s="4">
        <v>1429.12</v>
      </c>
    </row>
    <row r="48" spans="1:31" x14ac:dyDescent="0.35">
      <c r="A48" s="8"/>
    </row>
    <row r="49" spans="1:31" x14ac:dyDescent="0.35">
      <c r="A49" s="8" t="s">
        <v>41</v>
      </c>
      <c r="C49" s="7" t="s">
        <v>8</v>
      </c>
      <c r="D49" s="7" t="s">
        <v>9</v>
      </c>
      <c r="E49" s="7" t="s">
        <v>0</v>
      </c>
      <c r="G49" s="8" t="s">
        <v>42</v>
      </c>
      <c r="I49" s="7" t="s">
        <v>11</v>
      </c>
      <c r="J49" s="7" t="s">
        <v>12</v>
      </c>
      <c r="K49" s="7" t="s">
        <v>13</v>
      </c>
      <c r="L49" s="7" t="s">
        <v>14</v>
      </c>
      <c r="M49" s="7" t="s">
        <v>15</v>
      </c>
      <c r="N49" s="7" t="s">
        <v>16</v>
      </c>
      <c r="O49" s="7" t="s">
        <v>17</v>
      </c>
      <c r="P49" s="7" t="s">
        <v>18</v>
      </c>
      <c r="Q49" s="7" t="s">
        <v>19</v>
      </c>
      <c r="R49" s="7" t="s">
        <v>20</v>
      </c>
      <c r="T49" s="8" t="s">
        <v>43</v>
      </c>
      <c r="V49" s="7" t="s">
        <v>11</v>
      </c>
      <c r="W49" s="7" t="s">
        <v>12</v>
      </c>
      <c r="X49" s="7" t="s">
        <v>13</v>
      </c>
      <c r="Y49" s="7" t="s">
        <v>14</v>
      </c>
      <c r="Z49" s="7" t="s">
        <v>15</v>
      </c>
      <c r="AA49" s="7" t="s">
        <v>16</v>
      </c>
      <c r="AB49" s="7" t="s">
        <v>17</v>
      </c>
      <c r="AC49" s="7" t="s">
        <v>18</v>
      </c>
      <c r="AD49" s="7" t="s">
        <v>19</v>
      </c>
      <c r="AE49" s="7" t="s">
        <v>20</v>
      </c>
    </row>
    <row r="50" spans="1:31" x14ac:dyDescent="0.35">
      <c r="A50" s="8"/>
      <c r="B50" s="6" t="s">
        <v>1</v>
      </c>
      <c r="C50" s="3">
        <v>150</v>
      </c>
      <c r="D50" s="13">
        <v>0</v>
      </c>
      <c r="E50" s="13">
        <f>D50*C50</f>
        <v>0</v>
      </c>
      <c r="H50" s="9" t="s">
        <v>1</v>
      </c>
      <c r="I50" s="12">
        <v>192.03</v>
      </c>
      <c r="J50" s="12">
        <v>193.95</v>
      </c>
      <c r="K50" s="12">
        <v>195.89</v>
      </c>
      <c r="L50" s="12">
        <v>197.85</v>
      </c>
      <c r="M50" s="12">
        <v>199.82</v>
      </c>
      <c r="N50" s="12">
        <v>201.82</v>
      </c>
      <c r="O50" s="12">
        <v>203.84</v>
      </c>
      <c r="P50" s="12">
        <v>205.88</v>
      </c>
      <c r="Q50" s="12">
        <v>207.94</v>
      </c>
      <c r="R50" s="12">
        <v>210.02</v>
      </c>
      <c r="S50" s="2"/>
      <c r="U50" s="9" t="s">
        <v>1</v>
      </c>
      <c r="V50" s="13">
        <v>877.5</v>
      </c>
      <c r="W50" s="13">
        <v>877.5</v>
      </c>
      <c r="X50" s="13">
        <v>877.5</v>
      </c>
      <c r="Y50" s="13">
        <v>877.5</v>
      </c>
      <c r="Z50" s="13">
        <v>877.5</v>
      </c>
      <c r="AA50" s="13">
        <v>877.5</v>
      </c>
      <c r="AB50" s="13">
        <v>877.5</v>
      </c>
      <c r="AC50" s="13">
        <v>877.5</v>
      </c>
      <c r="AD50" s="13">
        <v>877.5</v>
      </c>
      <c r="AE50" s="13">
        <v>877.5</v>
      </c>
    </row>
    <row r="51" spans="1:31" x14ac:dyDescent="0.35">
      <c r="A51" s="8"/>
      <c r="B51" s="6" t="s">
        <v>2</v>
      </c>
      <c r="C51" s="3">
        <v>150</v>
      </c>
      <c r="D51" s="4">
        <v>150</v>
      </c>
      <c r="E51" s="5">
        <f>D51*C51</f>
        <v>22500</v>
      </c>
      <c r="H51" s="9" t="s">
        <v>2</v>
      </c>
      <c r="I51" s="4">
        <v>125</v>
      </c>
      <c r="J51" s="4">
        <v>125</v>
      </c>
      <c r="K51" s="4">
        <v>125</v>
      </c>
      <c r="L51" s="4">
        <v>125</v>
      </c>
      <c r="M51" s="4">
        <v>125</v>
      </c>
      <c r="N51" s="4">
        <v>125</v>
      </c>
      <c r="O51" s="4">
        <v>125</v>
      </c>
      <c r="P51" s="4">
        <v>125</v>
      </c>
      <c r="Q51" s="4">
        <v>125</v>
      </c>
      <c r="R51" s="4">
        <v>125</v>
      </c>
      <c r="S51" s="2"/>
      <c r="U51" s="9" t="s">
        <v>2</v>
      </c>
      <c r="V51" s="4">
        <v>1308.1500000000001</v>
      </c>
      <c r="W51" s="4">
        <v>1308.1500000000001</v>
      </c>
      <c r="X51" s="4">
        <v>1308.1500000000001</v>
      </c>
      <c r="Y51" s="4">
        <v>1308.1500000000001</v>
      </c>
      <c r="Z51" s="4">
        <v>1308.1500000000001</v>
      </c>
      <c r="AA51" s="4">
        <v>1308.1500000000001</v>
      </c>
      <c r="AB51" s="4">
        <v>1308.1500000000001</v>
      </c>
      <c r="AC51" s="4">
        <v>1308.1500000000001</v>
      </c>
      <c r="AD51" s="4">
        <v>1308.1500000000001</v>
      </c>
      <c r="AE51" s="4">
        <v>1308.1500000000001</v>
      </c>
    </row>
    <row r="52" spans="1:31" x14ac:dyDescent="0.35">
      <c r="A52" s="8"/>
      <c r="B52" s="6" t="s">
        <v>3</v>
      </c>
      <c r="C52" s="3">
        <v>150</v>
      </c>
      <c r="D52" s="4">
        <v>350</v>
      </c>
      <c r="E52" s="5">
        <f>D52*C52</f>
        <v>52500</v>
      </c>
      <c r="H52" s="9" t="s">
        <v>3</v>
      </c>
      <c r="I52" s="10">
        <v>100</v>
      </c>
      <c r="J52" s="4">
        <v>102</v>
      </c>
      <c r="K52" s="4">
        <v>104.04</v>
      </c>
      <c r="L52" s="4">
        <v>106.12</v>
      </c>
      <c r="M52" s="4">
        <v>108.24</v>
      </c>
      <c r="N52" s="4">
        <v>110.41</v>
      </c>
      <c r="O52" s="4">
        <v>112.62</v>
      </c>
      <c r="P52" s="4">
        <v>114.87</v>
      </c>
      <c r="Q52" s="4">
        <v>117.17</v>
      </c>
      <c r="R52" s="4">
        <v>119.51</v>
      </c>
      <c r="S52" s="2"/>
      <c r="U52" s="9" t="s">
        <v>3</v>
      </c>
      <c r="V52" s="10">
        <v>1875</v>
      </c>
      <c r="W52" s="4">
        <v>1912.5</v>
      </c>
      <c r="X52" s="4">
        <v>1950.75</v>
      </c>
      <c r="Y52" s="4">
        <v>1989.77</v>
      </c>
      <c r="Z52" s="4">
        <v>2029.58</v>
      </c>
      <c r="AA52" s="4">
        <v>2070.15</v>
      </c>
      <c r="AB52" s="4">
        <v>2111.5500000000002</v>
      </c>
      <c r="AC52" s="4">
        <v>2153.79</v>
      </c>
      <c r="AD52" s="4">
        <v>2196.86</v>
      </c>
      <c r="AE52" s="4">
        <v>2240.8000000000002</v>
      </c>
    </row>
    <row r="53" spans="1:31" x14ac:dyDescent="0.35">
      <c r="A53" s="8"/>
    </row>
    <row r="54" spans="1:31" x14ac:dyDescent="0.35">
      <c r="A54" s="8" t="s">
        <v>44</v>
      </c>
      <c r="C54" s="7" t="s">
        <v>8</v>
      </c>
      <c r="D54" s="7" t="s">
        <v>9</v>
      </c>
      <c r="E54" s="7" t="s">
        <v>0</v>
      </c>
      <c r="G54" s="8" t="s">
        <v>45</v>
      </c>
      <c r="I54" s="7" t="s">
        <v>11</v>
      </c>
      <c r="J54" s="7" t="s">
        <v>12</v>
      </c>
      <c r="K54" s="7" t="s">
        <v>13</v>
      </c>
      <c r="L54" s="7" t="s">
        <v>14</v>
      </c>
      <c r="M54" s="7" t="s">
        <v>15</v>
      </c>
      <c r="N54" s="7" t="s">
        <v>16</v>
      </c>
      <c r="O54" s="7" t="s">
        <v>17</v>
      </c>
      <c r="P54" s="7" t="s">
        <v>18</v>
      </c>
      <c r="Q54" s="7" t="s">
        <v>19</v>
      </c>
      <c r="R54" s="7" t="s">
        <v>20</v>
      </c>
      <c r="T54" s="8" t="s">
        <v>46</v>
      </c>
      <c r="V54" s="7" t="s">
        <v>11</v>
      </c>
      <c r="W54" s="7" t="s">
        <v>12</v>
      </c>
      <c r="X54" s="7" t="s">
        <v>13</v>
      </c>
      <c r="Y54" s="7" t="s">
        <v>14</v>
      </c>
      <c r="Z54" s="7" t="s">
        <v>15</v>
      </c>
      <c r="AA54" s="7" t="s">
        <v>16</v>
      </c>
      <c r="AB54" s="7" t="s">
        <v>17</v>
      </c>
      <c r="AC54" s="7" t="s">
        <v>18</v>
      </c>
      <c r="AD54" s="7" t="s">
        <v>19</v>
      </c>
      <c r="AE54" s="7" t="s">
        <v>20</v>
      </c>
    </row>
    <row r="55" spans="1:31" x14ac:dyDescent="0.35">
      <c r="A55" s="8"/>
      <c r="B55" s="6" t="s">
        <v>1</v>
      </c>
      <c r="C55" s="3">
        <v>125</v>
      </c>
      <c r="D55" s="12">
        <v>13421</v>
      </c>
      <c r="E55" s="12">
        <f>D55*C55+0*5</f>
        <v>1677625</v>
      </c>
      <c r="H55" s="9" t="s">
        <v>1</v>
      </c>
      <c r="I55" s="13">
        <v>81.540000000000006</v>
      </c>
      <c r="J55" s="13">
        <v>82.36</v>
      </c>
      <c r="K55" s="13">
        <v>83.18</v>
      </c>
      <c r="L55" s="13">
        <v>84.01</v>
      </c>
      <c r="M55" s="13">
        <v>84.85</v>
      </c>
      <c r="N55" s="13">
        <v>85.7</v>
      </c>
      <c r="O55" s="13">
        <v>86.56</v>
      </c>
      <c r="P55" s="13">
        <v>87.42</v>
      </c>
      <c r="Q55" s="13">
        <v>88.3</v>
      </c>
      <c r="R55" s="13">
        <v>89.18</v>
      </c>
      <c r="S55" s="2"/>
      <c r="U55" s="9" t="s">
        <v>1</v>
      </c>
      <c r="V55" s="11">
        <v>3625.94</v>
      </c>
      <c r="W55" s="11">
        <v>3625.94</v>
      </c>
      <c r="X55" s="11">
        <v>3625.94</v>
      </c>
      <c r="Y55" s="11">
        <v>3625.94</v>
      </c>
      <c r="Z55" s="11">
        <v>3625.94</v>
      </c>
      <c r="AA55" s="11">
        <v>3625.94</v>
      </c>
      <c r="AB55" s="11">
        <v>3625.94</v>
      </c>
      <c r="AC55" s="11">
        <v>3625.94</v>
      </c>
      <c r="AD55" s="11">
        <v>3625.94</v>
      </c>
      <c r="AE55" s="11">
        <v>3625.94</v>
      </c>
    </row>
    <row r="56" spans="1:31" x14ac:dyDescent="0.35">
      <c r="A56" s="8"/>
      <c r="B56" s="6" t="s">
        <v>2</v>
      </c>
      <c r="C56" s="3">
        <v>125</v>
      </c>
      <c r="D56" s="4">
        <v>4200</v>
      </c>
      <c r="E56" s="5">
        <f>D56*C56+125*5</f>
        <v>525625</v>
      </c>
      <c r="H56" s="9" t="s">
        <v>2</v>
      </c>
      <c r="I56" s="4">
        <v>125</v>
      </c>
      <c r="J56" s="4">
        <v>125</v>
      </c>
      <c r="K56" s="4">
        <v>125</v>
      </c>
      <c r="L56" s="4">
        <v>125</v>
      </c>
      <c r="M56" s="4">
        <v>125</v>
      </c>
      <c r="N56" s="4">
        <v>125</v>
      </c>
      <c r="O56" s="4">
        <v>125</v>
      </c>
      <c r="P56" s="4">
        <v>125</v>
      </c>
      <c r="Q56" s="4">
        <v>125</v>
      </c>
      <c r="R56" s="4">
        <v>125</v>
      </c>
      <c r="S56" s="2"/>
      <c r="U56" s="9" t="s">
        <v>2</v>
      </c>
      <c r="V56" s="4">
        <v>2800</v>
      </c>
      <c r="W56" s="4">
        <v>2800</v>
      </c>
      <c r="X56" s="4">
        <v>2800</v>
      </c>
      <c r="Y56" s="4">
        <v>2800</v>
      </c>
      <c r="Z56" s="4">
        <v>2800</v>
      </c>
      <c r="AA56" s="4">
        <v>2800</v>
      </c>
      <c r="AB56" s="4">
        <v>2800</v>
      </c>
      <c r="AC56" s="4">
        <v>2800</v>
      </c>
      <c r="AD56" s="4">
        <v>2800</v>
      </c>
      <c r="AE56" s="4">
        <v>2800</v>
      </c>
    </row>
    <row r="57" spans="1:31" x14ac:dyDescent="0.35">
      <c r="A57" s="8"/>
      <c r="B57" s="6" t="s">
        <v>3</v>
      </c>
      <c r="C57" s="3">
        <v>125</v>
      </c>
      <c r="D57" s="4">
        <v>6750</v>
      </c>
      <c r="E57" s="5">
        <f>D57*C57+0*5</f>
        <v>843750</v>
      </c>
      <c r="H57" s="9" t="s">
        <v>3</v>
      </c>
      <c r="I57" s="10">
        <v>100</v>
      </c>
      <c r="J57" s="4">
        <v>102</v>
      </c>
      <c r="K57" s="4">
        <v>104.04</v>
      </c>
      <c r="L57" s="4">
        <v>106.12</v>
      </c>
      <c r="M57" s="4">
        <v>108.24</v>
      </c>
      <c r="N57" s="4">
        <v>110.41</v>
      </c>
      <c r="O57" s="4">
        <v>112.62</v>
      </c>
      <c r="P57" s="4">
        <v>114.87</v>
      </c>
      <c r="Q57" s="4">
        <v>117.17</v>
      </c>
      <c r="R57" s="4">
        <v>119.51</v>
      </c>
      <c r="S57" s="2"/>
      <c r="U57" s="9" t="s">
        <v>3</v>
      </c>
      <c r="V57" s="10">
        <v>6934.98</v>
      </c>
      <c r="W57" s="4">
        <v>7073.67</v>
      </c>
      <c r="X57" s="4">
        <v>7215.15</v>
      </c>
      <c r="Y57" s="4">
        <v>7359.45</v>
      </c>
      <c r="Z57" s="4">
        <v>7506.64</v>
      </c>
      <c r="AA57" s="4">
        <v>7656.77</v>
      </c>
      <c r="AB57" s="4">
        <v>7809.91</v>
      </c>
      <c r="AC57" s="4">
        <v>7966.11</v>
      </c>
      <c r="AD57" s="4">
        <v>8125.43</v>
      </c>
      <c r="AE57" s="4">
        <v>8287.94</v>
      </c>
    </row>
    <row r="58" spans="1:31" x14ac:dyDescent="0.35">
      <c r="A58" s="8"/>
    </row>
    <row r="59" spans="1:31" x14ac:dyDescent="0.35">
      <c r="A59" s="8" t="s">
        <v>47</v>
      </c>
      <c r="C59" s="7" t="s">
        <v>8</v>
      </c>
      <c r="D59" s="7" t="s">
        <v>9</v>
      </c>
      <c r="E59" s="7" t="s">
        <v>0</v>
      </c>
      <c r="S59" s="2"/>
    </row>
    <row r="60" spans="1:31" x14ac:dyDescent="0.35">
      <c r="A60" s="8"/>
      <c r="B60" s="6" t="s">
        <v>1</v>
      </c>
      <c r="C60" s="3">
        <v>1425000</v>
      </c>
      <c r="D60" s="12">
        <v>17.73</v>
      </c>
      <c r="E60" s="12">
        <f>D60*C60+0*5</f>
        <v>25265250</v>
      </c>
      <c r="F60" s="2"/>
      <c r="S60" s="2"/>
    </row>
    <row r="61" spans="1:31" x14ac:dyDescent="0.35">
      <c r="A61" s="8"/>
      <c r="B61" s="6" t="s">
        <v>2</v>
      </c>
      <c r="C61" s="3">
        <v>1425000</v>
      </c>
      <c r="D61" s="4">
        <v>9.9499999999999993</v>
      </c>
      <c r="E61" s="5">
        <f>D61*C61+125*5</f>
        <v>14179374.999999998</v>
      </c>
      <c r="S61" s="2"/>
    </row>
    <row r="62" spans="1:31" x14ac:dyDescent="0.35">
      <c r="A62" s="8"/>
      <c r="B62" s="6" t="s">
        <v>3</v>
      </c>
      <c r="C62" s="3">
        <v>1425000</v>
      </c>
      <c r="D62" s="4">
        <v>14.25</v>
      </c>
      <c r="E62" s="5">
        <f>D62*C62+0*5</f>
        <v>20306250</v>
      </c>
    </row>
    <row r="63" spans="1:31" x14ac:dyDescent="0.35">
      <c r="A63" s="8"/>
    </row>
    <row r="64" spans="1:31" x14ac:dyDescent="0.35">
      <c r="A64" s="8" t="s">
        <v>48</v>
      </c>
      <c r="C64" s="7" t="s">
        <v>8</v>
      </c>
      <c r="D64" s="7" t="s">
        <v>9</v>
      </c>
      <c r="E64" s="7" t="s">
        <v>0</v>
      </c>
    </row>
    <row r="65" spans="1:6" x14ac:dyDescent="0.35">
      <c r="A65" s="8"/>
      <c r="B65" s="6" t="s">
        <v>1</v>
      </c>
      <c r="C65" s="3">
        <v>1900000</v>
      </c>
      <c r="D65" s="14" t="s">
        <v>49</v>
      </c>
      <c r="E65" s="12">
        <f>(C65*17.73)+(C65*17.86)+(C65*18)+(C65*18.01)+(C65*18.16)</f>
        <v>170544000</v>
      </c>
      <c r="F65" s="2"/>
    </row>
    <row r="66" spans="1:6" x14ac:dyDescent="0.35">
      <c r="A66" s="8"/>
      <c r="B66" s="6" t="s">
        <v>2</v>
      </c>
      <c r="C66" s="3">
        <v>1900000</v>
      </c>
      <c r="D66" s="4">
        <v>9.9499999999999993</v>
      </c>
      <c r="E66" s="5">
        <f>D66*C66*5</f>
        <v>94525000</v>
      </c>
    </row>
    <row r="67" spans="1:6" x14ac:dyDescent="0.35">
      <c r="A67" s="8"/>
      <c r="B67" s="6" t="s">
        <v>3</v>
      </c>
      <c r="C67" s="3">
        <v>1900000</v>
      </c>
      <c r="D67" s="4">
        <v>14.25</v>
      </c>
      <c r="E67" s="5">
        <f>D67*C67*5</f>
        <v>135375000</v>
      </c>
    </row>
    <row r="69" spans="1:6" x14ac:dyDescent="0.35">
      <c r="E69" s="2"/>
    </row>
    <row r="70" spans="1:6" x14ac:dyDescent="0.35">
      <c r="E70" s="2"/>
    </row>
    <row r="71" spans="1:6" x14ac:dyDescent="0.35">
      <c r="E71" s="2"/>
    </row>
  </sheetData>
  <mergeCells count="7">
    <mergeCell ref="A1:D1"/>
    <mergeCell ref="A7:E7"/>
    <mergeCell ref="G7:R7"/>
    <mergeCell ref="T7:AE7"/>
    <mergeCell ref="C2:D2"/>
    <mergeCell ref="C3:D3"/>
    <mergeCell ref="C4:D4"/>
  </mergeCells>
  <pageMargins left="0.7" right="0.7" top="0.75" bottom="0.75" header="0.3" footer="0.3"/>
  <pageSetup orientation="portrait" r:id="rId1"/>
  <headerFooter>
    <oddHeader>&amp;L&amp;"Franklin Gothic Book"&amp;10&amp;K000000Sensitive&amp;1#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BA42B4AAAEC446924338B4C7178EEE" ma:contentTypeVersion="4" ma:contentTypeDescription="Create a new document." ma:contentTypeScope="" ma:versionID="73a8532c51d1df2650f0342b034b59dc">
  <xsd:schema xmlns:xsd="http://www.w3.org/2001/XMLSchema" xmlns:xs="http://www.w3.org/2001/XMLSchema" xmlns:p="http://schemas.microsoft.com/office/2006/metadata/properties" xmlns:ns2="bcebb7e9-9f07-4066-b083-1bc38746faf1" targetNamespace="http://schemas.microsoft.com/office/2006/metadata/properties" ma:root="true" ma:fieldsID="8c43fe02c02757391bca76f8855626ba" ns2:_="">
    <xsd:import namespace="bcebb7e9-9f07-4066-b083-1bc38746fa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bb7e9-9f07-4066-b083-1bc38746fa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E87E07-B915-4174-AA73-BC7CAA829D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AAA1D1-B8B5-481A-90CF-37AC7EF74951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bcebb7e9-9f07-4066-b083-1bc38746faf1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F2BBB53-AFF4-4524-BE3E-D3AD508D85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ebb7e9-9f07-4066-b083-1bc38746fa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Freeman, Jason</dc:creator>
  <cp:keywords/>
  <dc:description/>
  <cp:lastModifiedBy>Leckie, Robert [US-US]</cp:lastModifiedBy>
  <cp:revision/>
  <dcterms:created xsi:type="dcterms:W3CDTF">2022-12-12T12:18:03Z</dcterms:created>
  <dcterms:modified xsi:type="dcterms:W3CDTF">2025-08-13T12:03:28Z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1e7834-6be8-4780-ac5e-8408bbf8216f_Enabled">
    <vt:lpwstr>true</vt:lpwstr>
  </property>
  <property fmtid="{D5CDD505-2E9C-101B-9397-08002B2CF9AE}" pid="3" name="MSIP_Label_5c1e7834-6be8-4780-ac5e-8408bbf8216f_SetDate">
    <vt:lpwstr>2023-05-19T13:42:16Z</vt:lpwstr>
  </property>
  <property fmtid="{D5CDD505-2E9C-101B-9397-08002B2CF9AE}" pid="4" name="MSIP_Label_5c1e7834-6be8-4780-ac5e-8408bbf8216f_Method">
    <vt:lpwstr>Privileged</vt:lpwstr>
  </property>
  <property fmtid="{D5CDD505-2E9C-101B-9397-08002B2CF9AE}" pid="5" name="MSIP_Label_5c1e7834-6be8-4780-ac5e-8408bbf8216f_Name">
    <vt:lpwstr>5c1e7834-6be8-4780-ac5e-8408bbf8216f</vt:lpwstr>
  </property>
  <property fmtid="{D5CDD505-2E9C-101B-9397-08002B2CF9AE}" pid="6" name="MSIP_Label_5c1e7834-6be8-4780-ac5e-8408bbf8216f_SiteId">
    <vt:lpwstr>8d088ff8-7e52-4d0f-8187-dcd9ca37815a</vt:lpwstr>
  </property>
  <property fmtid="{D5CDD505-2E9C-101B-9397-08002B2CF9AE}" pid="7" name="MSIP_Label_5c1e7834-6be8-4780-ac5e-8408bbf8216f_ActionId">
    <vt:lpwstr>078fe6c5-f58e-441d-9e01-e9f58a053b64</vt:lpwstr>
  </property>
  <property fmtid="{D5CDD505-2E9C-101B-9397-08002B2CF9AE}" pid="8" name="MSIP_Label_5c1e7834-6be8-4780-ac5e-8408bbf8216f_ContentBits">
    <vt:lpwstr>1</vt:lpwstr>
  </property>
  <property fmtid="{D5CDD505-2E9C-101B-9397-08002B2CF9AE}" pid="9" name="ContentTypeId">
    <vt:lpwstr>0x010100DDBA42B4AAAEC446924338B4C7178EEE</vt:lpwstr>
  </property>
</Properties>
</file>